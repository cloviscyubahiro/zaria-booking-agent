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ular Clients" sheetId="1" state="visible" r:id="rId3"/>
    <sheet name="Week View" sheetId="2" state="visible" r:id="rId4"/>
    <sheet name="Contacts" sheetId="3" state="visible" r:id="rId5"/>
    <sheet name="Settings" sheetId="4" state="visible" r:id="rId6"/>
    <sheet name="Faciliti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<sst xmlns="http://schemas.openxmlformats.org/spreadsheetml/2006/main" count="161" uniqueCount="108">
  <si>
    <t xml:space="preserve">Regular Clients - booked directly with Zaria Court</t>
  </si>
  <si>
    <t xml:space="preserve">Booked directly with Zaria. The agent does not announce these hours as new Ticqet bookings, includes them in updates and reminders, and tells the admin if they are open on Ticqet.</t>
  </si>
  <si>
    <t xml:space="preserve">Fill the yellow cells. One row per client per day. Times in 24-hour HH:MM (e.g. 17:00). Dates as DD/MM/YYYY (e.g. 01/09/2026). Add new clients in the empty rows.</t>
  </si>
  <si>
    <t xml:space="preserve">Client</t>
  </si>
  <si>
    <t xml:space="preserve">Facility</t>
  </si>
  <si>
    <t xml:space="preserve">Day</t>
  </si>
  <si>
    <t xml:space="preserve">Start</t>
  </si>
  <si>
    <t xml:space="preserve">End</t>
  </si>
  <si>
    <t xml:space="preserve">Hours</t>
  </si>
  <si>
    <t xml:space="preserve">Type</t>
  </si>
  <si>
    <t xml:space="preserve">From</t>
  </si>
  <si>
    <t xml:space="preserve">Until</t>
  </si>
  <si>
    <t xml:space="preserve">Status</t>
  </si>
  <si>
    <t xml:space="preserve">Check</t>
  </si>
  <si>
    <t xml:space="preserve">Notes</t>
  </si>
  <si>
    <t xml:space="preserve">Example Club</t>
  </si>
  <si>
    <t xml:space="preserve">Multi-Purpose Court</t>
  </si>
  <si>
    <t xml:space="preserve">Monday</t>
  </si>
  <si>
    <t xml:space="preserve">Monthly</t>
  </si>
  <si>
    <t xml:space="preserve">Example row - replace with a real client.</t>
  </si>
  <si>
    <t xml:space="preserve">Wednesday</t>
  </si>
  <si>
    <t xml:space="preserve">Example row.</t>
  </si>
  <si>
    <t xml:space="preserve">Example Company</t>
  </si>
  <si>
    <t xml:space="preserve">Tuesday</t>
  </si>
  <si>
    <t xml:space="preserve">Regular hours per week (clients not ended)</t>
  </si>
  <si>
    <t xml:space="preserve">Week View - regular clients</t>
  </si>
  <si>
    <t xml:space="preserve">Fills itself from the Regular Clients sheet. Rows match Ticqet's hourly slots (7:00 AM to 11:00 PM start times).</t>
  </si>
  <si>
    <t xml:space="preserve">Facility:</t>
  </si>
  <si>
    <t xml:space="preserve">TIME</t>
  </si>
  <si>
    <t xml:space="preserve">MONDAY</t>
  </si>
  <si>
    <t xml:space="preserve">TUESDAY</t>
  </si>
  <si>
    <t xml:space="preserve">WEDNESDAY</t>
  </si>
  <si>
    <t xml:space="preserve">THURSDAY</t>
  </si>
  <si>
    <t xml:space="preserve">FRIDAY</t>
  </si>
  <si>
    <t xml:space="preserve">SATURDAY</t>
  </si>
  <si>
    <t xml:space="preserve">SUNDAY</t>
  </si>
  <si>
    <t xml:space="preserve">Week total</t>
  </si>
  <si>
    <t xml:space="preserve">Contacts - who receives what</t>
  </si>
  <si>
    <t xml:space="preserve">Numbers as typed (07XXXXXXXX). Yes/No sets who gets what. Admin alerts = technical problems, possible double-bookings, regular slots open on Ticqet, renewals.</t>
  </si>
  <si>
    <t xml:space="preserve">Number</t>
  </si>
  <si>
    <t xml:space="preserve">Sends to</t>
  </si>
  <si>
    <t xml:space="preserve">Role</t>
  </si>
  <si>
    <t xml:space="preserve">Name (optional)</t>
  </si>
  <si>
    <t xml:space="preserve">New booking alerts</t>
  </si>
  <si>
    <t xml:space="preserve">Daily &amp; weekly updates</t>
  </si>
  <si>
    <t xml:space="preserve">Attendant reminders</t>
  </si>
  <si>
    <t xml:space="preserve">Admin alerts</t>
  </si>
  <si>
    <t xml:space="preserve">0780000001</t>
  </si>
  <si>
    <t xml:space="preserve">Team</t>
  </si>
  <si>
    <t xml:space="preserve">Yes</t>
  </si>
  <si>
    <t xml:space="preserve">No</t>
  </si>
  <si>
    <t xml:space="preserve">0780000002</t>
  </si>
  <si>
    <t xml:space="preserve">Attendant</t>
  </si>
  <si>
    <t xml:space="preserve">0780000003</t>
  </si>
  <si>
    <t xml:space="preserve">0780000004</t>
  </si>
  <si>
    <t xml:space="preserve">0780000005</t>
  </si>
  <si>
    <t xml:space="preserve">0780000006</t>
  </si>
  <si>
    <t xml:space="preserve">0780000007</t>
  </si>
  <si>
    <t xml:space="preserve">0780000009</t>
  </si>
  <si>
    <t xml:space="preserve">Admin (Clovis)</t>
  </si>
  <si>
    <t xml:space="preserve">Clovis</t>
  </si>
  <si>
    <t xml:space="preserve">Agent settings</t>
  </si>
  <si>
    <t xml:space="preserve">Change the yellow cells to adjust timing. Times in 24-hour HH:MM.</t>
  </si>
  <si>
    <t xml:space="preserve">Setting</t>
  </si>
  <si>
    <t xml:space="preserve">Value</t>
  </si>
  <si>
    <t xml:space="preserve">What it does</t>
  </si>
  <si>
    <t xml:space="preserve">Channel</t>
  </si>
  <si>
    <t xml:space="preserve">preview</t>
  </si>
  <si>
    <t xml:space="preserve">preview = nothing is sent; messages only go to the agent's log (start here). WhatsApp = send by WhatsApp (needs the Meta setup in the README). SMS = send by SMS through Pindo.</t>
  </si>
  <si>
    <t xml:space="preserve">SMS sender name</t>
  </si>
  <si>
    <t xml:space="preserve">ZariaCourt</t>
  </si>
  <si>
    <t xml:space="preserve">Only for SMS. Name shown as the sender (max 11 letters), approved by Pindo.</t>
  </si>
  <si>
    <t xml:space="preserve">Daily update time</t>
  </si>
  <si>
    <t xml:space="preserve">Today's bookings, every morning, to everyone with Daily &amp; weekly updates = Yes.</t>
  </si>
  <si>
    <t xml:space="preserve">Weekly overview day</t>
  </si>
  <si>
    <t xml:space="preserve">The weekly overview covers that day and the 6 days after it.</t>
  </si>
  <si>
    <t xml:space="preserve">Weekly overview time</t>
  </si>
  <si>
    <t xml:space="preserve">On that day, the weekly overview replaces the daily update.</t>
  </si>
  <si>
    <t xml:space="preserve">Attendant reminder 1 (minutes before)</t>
  </si>
  <si>
    <t xml:space="preserve">First reminder to attendants before each session.</t>
  </si>
  <si>
    <t xml:space="preserve">Attendant reminder 2 (minutes before)</t>
  </si>
  <si>
    <t xml:space="preserve">Second reminder. Attendants are asked to have the court ready by this time.</t>
  </si>
  <si>
    <t xml:space="preserve">Quiet hours start</t>
  </si>
  <si>
    <t xml:space="preserve">Booking alerts from this time wait for the morning update. Attendant reminders are never held.</t>
  </si>
  <si>
    <t xml:space="preserve">Quiet hours end</t>
  </si>
  <si>
    <t xml:space="preserve">Technical alert after (minutes)</t>
  </si>
  <si>
    <t xml:space="preserve">If Ticqet can't be read for this long, the admin is told (and told again when it's back).</t>
  </si>
  <si>
    <t xml:space="preserve">Renewal reminder (days before 'Until')</t>
  </si>
  <si>
    <t xml:space="preserve">Admin is reminded before a regular client's arrangement ends.</t>
  </si>
  <si>
    <t xml:space="preserve">Open regular slot check (days ahead)</t>
  </si>
  <si>
    <t xml:space="preserve">Each morning, the admin hears about regular clients' hours still OPEN on Ticqet in the next N days.</t>
  </si>
  <si>
    <t xml:space="preserve">Watch Ticqet (days ahead)</t>
  </si>
  <si>
    <t xml:space="preserve">How far ahead new bookings are noticed (1-90). Bookings further ahead are picked up silently when they come into range.</t>
  </si>
  <si>
    <t xml:space="preserve">Max separate alerts at once</t>
  </si>
  <si>
    <t xml:space="preserve">If more new bookings than this arrive together, the team gets one summary message instead.</t>
  </si>
  <si>
    <t xml:space="preserve">Max messages per day</t>
  </si>
  <si>
    <t xml:space="preserve">Safety limit against runaway costs. Team messages pause for the day once reached; the admin is told.</t>
  </si>
  <si>
    <t xml:space="preserve">Send welcome message</t>
  </si>
  <si>
    <t xml:space="preserve">One welcome to every number when the agent first goes live on a channel.</t>
  </si>
  <si>
    <t xml:space="preserve">Facilities on Ticqet</t>
  </si>
  <si>
    <t xml:space="preserve">The agent watches the facility marked Watch = Yes (one at a time in this version).</t>
  </si>
  <si>
    <t xml:space="preserve">Ticqet ID</t>
  </si>
  <si>
    <t xml:space="preserve">Watch</t>
  </si>
  <si>
    <t xml:space="preserve">wyUcHcKLSP52EBIr9asf</t>
  </si>
  <si>
    <t xml:space="preserve">Found on Ticqet: venue Zaria Court (mTNigTpKron5hpoNE2ws).</t>
  </si>
  <si>
    <t xml:space="preserve">5-A-Side Pitch A</t>
  </si>
  <si>
    <t xml:space="preserve">Closed for maintenance. Add its Ticqet ID when it reopens.</t>
  </si>
  <si>
    <t xml:space="preserve">5-A-Side Pitch B</t>
  </si>
</sst>
</file>

<file path=xl/styles.xml><?xml version="1.0" encoding="utf-8"?>
<styleSheet xmlns="http://schemas.openxmlformats.org/spreadsheetml/2006/main">
  <numFmts count="6">
    <numFmt numFmtId="164" formatCode="General"/>
    <numFmt numFmtId="165" formatCode="hh:mm"/>
    <numFmt numFmtId="166" formatCode="0.0"/>
    <numFmt numFmtId="167" formatCode="dd/mm/yyyy"/>
    <numFmt numFmtId="168" formatCode="@"/>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4"/>
      <color rgb="FF093254"/>
      <name val="Arial"/>
      <family val="0"/>
      <charset val="1"/>
    </font>
    <font>
      <sz val="10"/>
      <color rgb="FF404040"/>
      <name val="Arial"/>
      <family val="0"/>
      <charset val="1"/>
    </font>
    <font>
      <i val="true"/>
      <sz val="10"/>
      <color rgb="FF404040"/>
      <name val="Arial"/>
      <family val="0"/>
      <charset val="1"/>
    </font>
    <font>
      <b val="true"/>
      <sz val="10"/>
      <color rgb="FFFFFFFF"/>
      <name val="Arial"/>
      <family val="0"/>
      <charset val="1"/>
    </font>
    <font>
      <sz val="10"/>
      <color rgb="FF000000"/>
      <name val="Arial"/>
      <family val="0"/>
      <charset val="1"/>
    </font>
    <font>
      <b val="true"/>
      <sz val="10"/>
      <name val="Arial"/>
      <family val="0"/>
      <charset val="1"/>
    </font>
    <font>
      <b val="true"/>
      <sz val="10"/>
      <color rgb="FF093254"/>
      <name val="Arial"/>
      <family val="0"/>
      <charset val="1"/>
    </font>
    <font>
      <sz val="10"/>
      <name val="Arial"/>
      <family val="0"/>
      <charset val="1"/>
    </font>
    <font>
      <i val="true"/>
      <sz val="10"/>
      <color rgb="FFC00000"/>
      <name val="Arial"/>
      <family val="0"/>
      <charset val="1"/>
    </font>
  </fonts>
  <fills count="5">
    <fill>
      <patternFill patternType="none"/>
    </fill>
    <fill>
      <patternFill patternType="gray125"/>
    </fill>
    <fill>
      <patternFill patternType="solid">
        <fgColor rgb="FF093254"/>
        <bgColor rgb="FF003300"/>
      </patternFill>
    </fill>
    <fill>
      <patternFill patternType="solid">
        <fgColor rgb="FFFFF2CC"/>
        <bgColor rgb="FFE2EFDA"/>
      </patternFill>
    </fill>
    <fill>
      <patternFill patternType="solid">
        <fgColor rgb="FFE7EBF0"/>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7" fontId="8" fillId="3"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8" fontId="11"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8" fontId="11" fillId="3"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5" fontId="11" fillId="3" borderId="1" xfId="0" applyFont="true" applyBorder="true" applyAlignment="true" applyProtection="false">
      <alignment horizontal="center" vertical="center" textRotation="0" wrapText="true" indent="0" shrinkToFit="false"/>
      <protection locked="true" hidden="false"/>
    </xf>
    <xf numFmtId="169" fontId="11" fillId="3"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8CBAD"/>
        </patternFill>
      </fill>
    </dxf>
    <dxf>
      <font>
        <name val="Arial"/>
        <charset val="1"/>
        <family val="0"/>
        <color rgb="FF808080"/>
      </font>
    </dxf>
    <dxf>
      <font>
        <name val="Arial"/>
        <charset val="1"/>
        <family val="0"/>
        <b val="1"/>
        <color rgb="FFC00000"/>
      </font>
      <fill>
        <patternFill>
          <bgColor rgb="FFF8CBAD"/>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B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9325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2"/>
    <col collapsed="false" customWidth="true" hidden="false" outlineLevel="0" max="5" min="4" style="0" width="9"/>
    <col collapsed="false" customWidth="true" hidden="false" outlineLevel="0" max="6" min="6" style="0" width="8"/>
    <col collapsed="false" customWidth="true" hidden="false" outlineLevel="0" max="7" min="7" style="0" width="11"/>
    <col collapsed="false" customWidth="true" hidden="false" outlineLevel="0" max="9" min="8" style="0" width="12"/>
    <col collapsed="false" customWidth="true" hidden="false" outlineLevel="0" max="10" min="10" style="0" width="13"/>
    <col collapsed="false" customWidth="true" hidden="false" outlineLevel="0" max="11" min="11" style="0" width="20"/>
    <col collapsed="false" customWidth="true" hidden="false" outlineLevel="0" max="12" min="12" style="0" width="58"/>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c r="G2" s="2"/>
      <c r="H2" s="2"/>
      <c r="I2" s="2"/>
      <c r="J2" s="2"/>
      <c r="K2" s="2"/>
      <c r="L2" s="2"/>
    </row>
    <row r="3" customFormat="false" ht="27.75" hidden="false" customHeight="true" outlineLevel="0" collapsed="false">
      <c r="A3" s="3" t="s">
        <v>2</v>
      </c>
      <c r="B3" s="3"/>
      <c r="C3" s="3"/>
      <c r="D3" s="3"/>
      <c r="E3" s="3"/>
      <c r="F3" s="3"/>
      <c r="G3" s="3"/>
      <c r="H3" s="3"/>
      <c r="I3" s="3"/>
      <c r="J3" s="3"/>
      <c r="K3" s="3"/>
      <c r="L3" s="3"/>
    </row>
    <row r="5" customFormat="false" ht="21.75"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row>
    <row r="6" customFormat="false" ht="30" hidden="false" customHeight="true" outlineLevel="0" collapsed="false">
      <c r="A6" s="5" t="s">
        <v>15</v>
      </c>
      <c r="B6" s="5" t="s">
        <v>16</v>
      </c>
      <c r="C6" s="6" t="s">
        <v>17</v>
      </c>
      <c r="D6" s="7" t="n">
        <v>0.708333333333333</v>
      </c>
      <c r="E6" s="7" t="n">
        <v>0.791666666666667</v>
      </c>
      <c r="F6" s="8" t="n">
        <f aca="false">IF(OR(D6="",E6="",E6&lt;=D6),"",(E6-D6)*24)</f>
        <v>2</v>
      </c>
      <c r="G6" s="9" t="s">
        <v>18</v>
      </c>
      <c r="H6" s="10" t="n">
        <v>46296</v>
      </c>
      <c r="I6" s="10" t="n">
        <v>46326</v>
      </c>
      <c r="J6" s="6" t="str">
        <f aca="true">IF(A6="","",IF(AND(I6&lt;&gt;"",I6&lt;TODAY()),"Ended",IF(AND(H6&lt;&gt;"",H6&gt;TODAY()),"Not started",IF(OR(H6="",I6=""),"Dates missing","Active"))))</f>
        <v>Active</v>
      </c>
      <c r="K6" s="6" t="str">
        <f aca="false">IF(A6="","",IF(OR(B6="",C6="",D6="",E6=""),"Missing details",IF(E6&lt;=D6,"End must be after start",IF(SUMPRODUCT(($B$6:$B$30=B6)*($C$6:$C$30=C6)*($D$6:$D$30&lt;E6)*($E$6:$E$30&gt;D6))&gt;1,"Overlaps another row","OK"))))</f>
        <v>OK</v>
      </c>
      <c r="L6" s="5" t="s">
        <v>19</v>
      </c>
    </row>
    <row r="7" customFormat="false" ht="30" hidden="false" customHeight="true" outlineLevel="0" collapsed="false">
      <c r="A7" s="5" t="s">
        <v>15</v>
      </c>
      <c r="B7" s="5" t="s">
        <v>16</v>
      </c>
      <c r="C7" s="6" t="s">
        <v>20</v>
      </c>
      <c r="D7" s="7" t="n">
        <v>0.708333333333333</v>
      </c>
      <c r="E7" s="7" t="n">
        <v>0.791666666666667</v>
      </c>
      <c r="F7" s="8" t="n">
        <f aca="false">IF(OR(D7="",E7="",E7&lt;=D7),"",(E7-D7)*24)</f>
        <v>2</v>
      </c>
      <c r="G7" s="9" t="s">
        <v>18</v>
      </c>
      <c r="H7" s="10" t="n">
        <v>46296</v>
      </c>
      <c r="I7" s="10" t="n">
        <v>46326</v>
      </c>
      <c r="J7" s="6" t="str">
        <f aca="true">IF(A7="","",IF(AND(I7&lt;&gt;"",I7&lt;TODAY()),"Ended",IF(AND(H7&lt;&gt;"",H7&gt;TODAY()),"Not started",IF(OR(H7="",I7=""),"Dates missing","Active"))))</f>
        <v>Active</v>
      </c>
      <c r="K7" s="6" t="str">
        <f aca="false">IF(A7="","",IF(OR(B7="",C7="",D7="",E7=""),"Missing details",IF(E7&lt;=D7,"End must be after start",IF(SUMPRODUCT(($B$6:$B$30=B7)*($C$6:$C$30=C7)*($D$6:$D$30&lt;E7)*($E$6:$E$30&gt;D7))&gt;1,"Overlaps another row","OK"))))</f>
        <v>OK</v>
      </c>
      <c r="L7" s="5" t="s">
        <v>21</v>
      </c>
    </row>
    <row r="8" customFormat="false" ht="30" hidden="false" customHeight="true" outlineLevel="0" collapsed="false">
      <c r="A8" s="5" t="s">
        <v>22</v>
      </c>
      <c r="B8" s="5" t="s">
        <v>16</v>
      </c>
      <c r="C8" s="6" t="s">
        <v>23</v>
      </c>
      <c r="D8" s="7" t="n">
        <v>0.791666666666667</v>
      </c>
      <c r="E8" s="7" t="n">
        <v>0.875</v>
      </c>
      <c r="F8" s="8" t="n">
        <f aca="false">IF(OR(D8="",E8="",E8&lt;=D8),"",(E8-D8)*24)</f>
        <v>2</v>
      </c>
      <c r="G8" s="9" t="s">
        <v>18</v>
      </c>
      <c r="H8" s="10" t="n">
        <v>46296</v>
      </c>
      <c r="I8" s="10" t="n">
        <v>46387</v>
      </c>
      <c r="J8" s="6" t="str">
        <f aca="true">IF(A8="","",IF(AND(I8&lt;&gt;"",I8&lt;TODAY()),"Ended",IF(AND(H8&lt;&gt;"",H8&gt;TODAY()),"Not started",IF(OR(H8="",I8=""),"Dates missing","Active"))))</f>
        <v>Active</v>
      </c>
      <c r="K8" s="6" t="str">
        <f aca="false">IF(A8="","",IF(OR(B8="",C8="",D8="",E8=""),"Missing details",IF(E8&lt;=D8,"End must be after start",IF(SUMPRODUCT(($B$6:$B$30=B8)*($C$6:$C$30=C8)*($D$6:$D$30&lt;E8)*($E$6:$E$30&gt;D8))&gt;1,"Overlaps another row","OK"))))</f>
        <v>OK</v>
      </c>
      <c r="L8" s="5" t="s">
        <v>21</v>
      </c>
    </row>
    <row r="9" customFormat="false" ht="18" hidden="false" customHeight="true" outlineLevel="0" collapsed="false">
      <c r="A9" s="5"/>
      <c r="B9" s="5"/>
      <c r="C9" s="6"/>
      <c r="D9" s="7"/>
      <c r="E9" s="7"/>
      <c r="F9" s="8" t="str">
        <f aca="false">IF(OR(D9="",E9="",E9&lt;=D9),"",(E9-D9)*24)</f>
        <v/>
      </c>
      <c r="G9" s="6"/>
      <c r="H9" s="11"/>
      <c r="I9" s="11"/>
      <c r="J9" s="6" t="str">
        <f aca="true">IF(A9="","",IF(AND(I9&lt;&gt;"",I9&lt;TODAY()),"Ended",IF(AND(H9&lt;&gt;"",H9&gt;TODAY()),"Not started",IF(OR(H9="",I9=""),"Dates missing","Active"))))</f>
        <v/>
      </c>
      <c r="K9" s="6" t="str">
        <f aca="false">IF(A9="","",IF(OR(B9="",C9="",D9="",E9=""),"Missing details",IF(E9&lt;=D9,"End must be after start",IF(SUMPRODUCT(($B$6:$B$30=B9)*($C$6:$C$30=C9)*($D$6:$D$30&lt;E9)*($E$6:$E$30&gt;D9))&gt;1,"Overlaps another row","OK"))))</f>
        <v/>
      </c>
      <c r="L9" s="5"/>
    </row>
    <row r="10" customFormat="false" ht="18" hidden="false" customHeight="true" outlineLevel="0" collapsed="false">
      <c r="A10" s="5"/>
      <c r="B10" s="5"/>
      <c r="C10" s="6"/>
      <c r="D10" s="7"/>
      <c r="E10" s="7"/>
      <c r="F10" s="8" t="str">
        <f aca="false">IF(OR(D10="",E10="",E10&lt;=D10),"",(E10-D10)*24)</f>
        <v/>
      </c>
      <c r="G10" s="6"/>
      <c r="H10" s="11"/>
      <c r="I10" s="11"/>
      <c r="J10" s="6" t="str">
        <f aca="true">IF(A10="","",IF(AND(I10&lt;&gt;"",I10&lt;TODAY()),"Ended",IF(AND(H10&lt;&gt;"",H10&gt;TODAY()),"Not started",IF(OR(H10="",I10=""),"Dates missing","Active"))))</f>
        <v/>
      </c>
      <c r="K10" s="6" t="str">
        <f aca="false">IF(A10="","",IF(OR(B10="",C10="",D10="",E10=""),"Missing details",IF(E10&lt;=D10,"End must be after start",IF(SUMPRODUCT(($B$6:$B$30=B10)*($C$6:$C$30=C10)*($D$6:$D$30&lt;E10)*($E$6:$E$30&gt;D10))&gt;1,"Overlaps another row","OK"))))</f>
        <v/>
      </c>
      <c r="L10" s="5"/>
    </row>
    <row r="11" customFormat="false" ht="18" hidden="false" customHeight="true" outlineLevel="0" collapsed="false">
      <c r="A11" s="5"/>
      <c r="B11" s="5"/>
      <c r="C11" s="6"/>
      <c r="D11" s="7"/>
      <c r="E11" s="7"/>
      <c r="F11" s="8" t="str">
        <f aca="false">IF(OR(D11="",E11="",E11&lt;=D11),"",(E11-D11)*24)</f>
        <v/>
      </c>
      <c r="G11" s="6"/>
      <c r="H11" s="11"/>
      <c r="I11" s="11"/>
      <c r="J11" s="6" t="str">
        <f aca="true">IF(A11="","",IF(AND(I11&lt;&gt;"",I11&lt;TODAY()),"Ended",IF(AND(H11&lt;&gt;"",H11&gt;TODAY()),"Not started",IF(OR(H11="",I11=""),"Dates missing","Active"))))</f>
        <v/>
      </c>
      <c r="K11" s="6" t="str">
        <f aca="false">IF(A11="","",IF(OR(B11="",C11="",D11="",E11=""),"Missing details",IF(E11&lt;=D11,"End must be after start",IF(SUMPRODUCT(($B$6:$B$30=B11)*($C$6:$C$30=C11)*($D$6:$D$30&lt;E11)*($E$6:$E$30&gt;D11))&gt;1,"Overlaps another row","OK"))))</f>
        <v/>
      </c>
      <c r="L11" s="5"/>
    </row>
    <row r="12" customFormat="false" ht="18" hidden="false" customHeight="true" outlineLevel="0" collapsed="false">
      <c r="A12" s="5"/>
      <c r="B12" s="5"/>
      <c r="C12" s="6"/>
      <c r="D12" s="7"/>
      <c r="E12" s="7"/>
      <c r="F12" s="8" t="str">
        <f aca="false">IF(OR(D12="",E12="",E12&lt;=D12),"",(E12-D12)*24)</f>
        <v/>
      </c>
      <c r="G12" s="6"/>
      <c r="H12" s="11"/>
      <c r="I12" s="11"/>
      <c r="J12" s="6" t="str">
        <f aca="true">IF(A12="","",IF(AND(I12&lt;&gt;"",I12&lt;TODAY()),"Ended",IF(AND(H12&lt;&gt;"",H12&gt;TODAY()),"Not started",IF(OR(H12="",I12=""),"Dates missing","Active"))))</f>
        <v/>
      </c>
      <c r="K12" s="6" t="str">
        <f aca="false">IF(A12="","",IF(OR(B12="",C12="",D12="",E12=""),"Missing details",IF(E12&lt;=D12,"End must be after start",IF(SUMPRODUCT(($B$6:$B$30=B12)*($C$6:$C$30=C12)*($D$6:$D$30&lt;E12)*($E$6:$E$30&gt;D12))&gt;1,"Overlaps another row","OK"))))</f>
        <v/>
      </c>
      <c r="L12" s="5"/>
    </row>
    <row r="13" customFormat="false" ht="18" hidden="false" customHeight="true" outlineLevel="0" collapsed="false">
      <c r="A13" s="5"/>
      <c r="B13" s="5"/>
      <c r="C13" s="6"/>
      <c r="D13" s="7"/>
      <c r="E13" s="7"/>
      <c r="F13" s="8" t="str">
        <f aca="false">IF(OR(D13="",E13="",E13&lt;=D13),"",(E13-D13)*24)</f>
        <v/>
      </c>
      <c r="G13" s="6"/>
      <c r="H13" s="11"/>
      <c r="I13" s="11"/>
      <c r="J13" s="6" t="str">
        <f aca="true">IF(A13="","",IF(AND(I13&lt;&gt;"",I13&lt;TODAY()),"Ended",IF(AND(H13&lt;&gt;"",H13&gt;TODAY()),"Not started",IF(OR(H13="",I13=""),"Dates missing","Active"))))</f>
        <v/>
      </c>
      <c r="K13" s="6" t="str">
        <f aca="false">IF(A13="","",IF(OR(B13="",C13="",D13="",E13=""),"Missing details",IF(E13&lt;=D13,"End must be after start",IF(SUMPRODUCT(($B$6:$B$30=B13)*($C$6:$C$30=C13)*($D$6:$D$30&lt;E13)*($E$6:$E$30&gt;D13))&gt;1,"Overlaps another row","OK"))))</f>
        <v/>
      </c>
      <c r="L13" s="5"/>
    </row>
    <row r="14" customFormat="false" ht="18" hidden="false" customHeight="true" outlineLevel="0" collapsed="false">
      <c r="A14" s="5"/>
      <c r="B14" s="5"/>
      <c r="C14" s="6"/>
      <c r="D14" s="7"/>
      <c r="E14" s="7"/>
      <c r="F14" s="8" t="str">
        <f aca="false">IF(OR(D14="",E14="",E14&lt;=D14),"",(E14-D14)*24)</f>
        <v/>
      </c>
      <c r="G14" s="6"/>
      <c r="H14" s="11"/>
      <c r="I14" s="11"/>
      <c r="J14" s="6" t="str">
        <f aca="true">IF(A14="","",IF(AND(I14&lt;&gt;"",I14&lt;TODAY()),"Ended",IF(AND(H14&lt;&gt;"",H14&gt;TODAY()),"Not started",IF(OR(H14="",I14=""),"Dates missing","Active"))))</f>
        <v/>
      </c>
      <c r="K14" s="6" t="str">
        <f aca="false">IF(A14="","",IF(OR(B14="",C14="",D14="",E14=""),"Missing details",IF(E14&lt;=D14,"End must be after start",IF(SUMPRODUCT(($B$6:$B$30=B14)*($C$6:$C$30=C14)*($D$6:$D$30&lt;E14)*($E$6:$E$30&gt;D14))&gt;1,"Overlaps another row","OK"))))</f>
        <v/>
      </c>
      <c r="L14" s="5"/>
    </row>
    <row r="15" customFormat="false" ht="18" hidden="false" customHeight="true" outlineLevel="0" collapsed="false">
      <c r="A15" s="5"/>
      <c r="B15" s="5"/>
      <c r="C15" s="6"/>
      <c r="D15" s="7"/>
      <c r="E15" s="7"/>
      <c r="F15" s="8" t="str">
        <f aca="false">IF(OR(D15="",E15="",E15&lt;=D15),"",(E15-D15)*24)</f>
        <v/>
      </c>
      <c r="G15" s="6"/>
      <c r="H15" s="11"/>
      <c r="I15" s="11"/>
      <c r="J15" s="6" t="str">
        <f aca="true">IF(A15="","",IF(AND(I15&lt;&gt;"",I15&lt;TODAY()),"Ended",IF(AND(H15&lt;&gt;"",H15&gt;TODAY()),"Not started",IF(OR(H15="",I15=""),"Dates missing","Active"))))</f>
        <v/>
      </c>
      <c r="K15" s="6" t="str">
        <f aca="false">IF(A15="","",IF(OR(B15="",C15="",D15="",E15=""),"Missing details",IF(E15&lt;=D15,"End must be after start",IF(SUMPRODUCT(($B$6:$B$30=B15)*($C$6:$C$30=C15)*($D$6:$D$30&lt;E15)*($E$6:$E$30&gt;D15))&gt;1,"Overlaps another row","OK"))))</f>
        <v/>
      </c>
      <c r="L15" s="5"/>
    </row>
    <row r="16" customFormat="false" ht="18" hidden="false" customHeight="true" outlineLevel="0" collapsed="false">
      <c r="A16" s="5"/>
      <c r="B16" s="5"/>
      <c r="C16" s="6"/>
      <c r="D16" s="7"/>
      <c r="E16" s="7"/>
      <c r="F16" s="8" t="str">
        <f aca="false">IF(OR(D16="",E16="",E16&lt;=D16),"",(E16-D16)*24)</f>
        <v/>
      </c>
      <c r="G16" s="6"/>
      <c r="H16" s="11"/>
      <c r="I16" s="11"/>
      <c r="J16" s="6" t="str">
        <f aca="true">IF(A16="","",IF(AND(I16&lt;&gt;"",I16&lt;TODAY()),"Ended",IF(AND(H16&lt;&gt;"",H16&gt;TODAY()),"Not started",IF(OR(H16="",I16=""),"Dates missing","Active"))))</f>
        <v/>
      </c>
      <c r="K16" s="6" t="str">
        <f aca="false">IF(A16="","",IF(OR(B16="",C16="",D16="",E16=""),"Missing details",IF(E16&lt;=D16,"End must be after start",IF(SUMPRODUCT(($B$6:$B$30=B16)*($C$6:$C$30=C16)*($D$6:$D$30&lt;E16)*($E$6:$E$30&gt;D16))&gt;1,"Overlaps another row","OK"))))</f>
        <v/>
      </c>
      <c r="L16" s="5"/>
    </row>
    <row r="17" customFormat="false" ht="18" hidden="false" customHeight="true" outlineLevel="0" collapsed="false">
      <c r="A17" s="5"/>
      <c r="B17" s="5"/>
      <c r="C17" s="6"/>
      <c r="D17" s="7"/>
      <c r="E17" s="7"/>
      <c r="F17" s="8" t="str">
        <f aca="false">IF(OR(D17="",E17="",E17&lt;=D17),"",(E17-D17)*24)</f>
        <v/>
      </c>
      <c r="G17" s="6"/>
      <c r="H17" s="11"/>
      <c r="I17" s="11"/>
      <c r="J17" s="6" t="str">
        <f aca="true">IF(A17="","",IF(AND(I17&lt;&gt;"",I17&lt;TODAY()),"Ended",IF(AND(H17&lt;&gt;"",H17&gt;TODAY()),"Not started",IF(OR(H17="",I17=""),"Dates missing","Active"))))</f>
        <v/>
      </c>
      <c r="K17" s="6" t="str">
        <f aca="false">IF(A17="","",IF(OR(B17="",C17="",D17="",E17=""),"Missing details",IF(E17&lt;=D17,"End must be after start",IF(SUMPRODUCT(($B$6:$B$30=B17)*($C$6:$C$30=C17)*($D$6:$D$30&lt;E17)*($E$6:$E$30&gt;D17))&gt;1,"Overlaps another row","OK"))))</f>
        <v/>
      </c>
      <c r="L17" s="5"/>
    </row>
    <row r="18" customFormat="false" ht="18" hidden="false" customHeight="true" outlineLevel="0" collapsed="false">
      <c r="A18" s="5"/>
      <c r="B18" s="5"/>
      <c r="C18" s="6"/>
      <c r="D18" s="7"/>
      <c r="E18" s="7"/>
      <c r="F18" s="8" t="str">
        <f aca="false">IF(OR(D18="",E18="",E18&lt;=D18),"",(E18-D18)*24)</f>
        <v/>
      </c>
      <c r="G18" s="6"/>
      <c r="H18" s="11"/>
      <c r="I18" s="11"/>
      <c r="J18" s="6" t="str">
        <f aca="true">IF(A18="","",IF(AND(I18&lt;&gt;"",I18&lt;TODAY()),"Ended",IF(AND(H18&lt;&gt;"",H18&gt;TODAY()),"Not started",IF(OR(H18="",I18=""),"Dates missing","Active"))))</f>
        <v/>
      </c>
      <c r="K18" s="6" t="str">
        <f aca="false">IF(A18="","",IF(OR(B18="",C18="",D18="",E18=""),"Missing details",IF(E18&lt;=D18,"End must be after start",IF(SUMPRODUCT(($B$6:$B$30=B18)*($C$6:$C$30=C18)*($D$6:$D$30&lt;E18)*($E$6:$E$30&gt;D18))&gt;1,"Overlaps another row","OK"))))</f>
        <v/>
      </c>
      <c r="L18" s="5"/>
    </row>
    <row r="19" customFormat="false" ht="18" hidden="false" customHeight="true" outlineLevel="0" collapsed="false">
      <c r="A19" s="5"/>
      <c r="B19" s="5"/>
      <c r="C19" s="6"/>
      <c r="D19" s="7"/>
      <c r="E19" s="7"/>
      <c r="F19" s="8" t="str">
        <f aca="false">IF(OR(D19="",E19="",E19&lt;=D19),"",(E19-D19)*24)</f>
        <v/>
      </c>
      <c r="G19" s="6"/>
      <c r="H19" s="11"/>
      <c r="I19" s="11"/>
      <c r="J19" s="6" t="str">
        <f aca="true">IF(A19="","",IF(AND(I19&lt;&gt;"",I19&lt;TODAY()),"Ended",IF(AND(H19&lt;&gt;"",H19&gt;TODAY()),"Not started",IF(OR(H19="",I19=""),"Dates missing","Active"))))</f>
        <v/>
      </c>
      <c r="K19" s="6" t="str">
        <f aca="false">IF(A19="","",IF(OR(B19="",C19="",D19="",E19=""),"Missing details",IF(E19&lt;=D19,"End must be after start",IF(SUMPRODUCT(($B$6:$B$30=B19)*($C$6:$C$30=C19)*($D$6:$D$30&lt;E19)*($E$6:$E$30&gt;D19))&gt;1,"Overlaps another row","OK"))))</f>
        <v/>
      </c>
      <c r="L19" s="5"/>
    </row>
    <row r="20" customFormat="false" ht="18" hidden="false" customHeight="true" outlineLevel="0" collapsed="false">
      <c r="A20" s="5"/>
      <c r="B20" s="5"/>
      <c r="C20" s="6"/>
      <c r="D20" s="7"/>
      <c r="E20" s="7"/>
      <c r="F20" s="8" t="str">
        <f aca="false">IF(OR(D20="",E20="",E20&lt;=D20),"",(E20-D20)*24)</f>
        <v/>
      </c>
      <c r="G20" s="6"/>
      <c r="H20" s="11"/>
      <c r="I20" s="11"/>
      <c r="J20" s="6" t="str">
        <f aca="true">IF(A20="","",IF(AND(I20&lt;&gt;"",I20&lt;TODAY()),"Ended",IF(AND(H20&lt;&gt;"",H20&gt;TODAY()),"Not started",IF(OR(H20="",I20=""),"Dates missing","Active"))))</f>
        <v/>
      </c>
      <c r="K20" s="6" t="str">
        <f aca="false">IF(A20="","",IF(OR(B20="",C20="",D20="",E20=""),"Missing details",IF(E20&lt;=D20,"End must be after start",IF(SUMPRODUCT(($B$6:$B$30=B20)*($C$6:$C$30=C20)*($D$6:$D$30&lt;E20)*($E$6:$E$30&gt;D20))&gt;1,"Overlaps another row","OK"))))</f>
        <v/>
      </c>
      <c r="L20" s="5"/>
    </row>
    <row r="21" customFormat="false" ht="18" hidden="false" customHeight="true" outlineLevel="0" collapsed="false">
      <c r="A21" s="5"/>
      <c r="B21" s="5"/>
      <c r="C21" s="6"/>
      <c r="D21" s="7"/>
      <c r="E21" s="7"/>
      <c r="F21" s="8" t="str">
        <f aca="false">IF(OR(D21="",E21="",E21&lt;=D21),"",(E21-D21)*24)</f>
        <v/>
      </c>
      <c r="G21" s="6"/>
      <c r="H21" s="11"/>
      <c r="I21" s="11"/>
      <c r="J21" s="6" t="str">
        <f aca="true">IF(A21="","",IF(AND(I21&lt;&gt;"",I21&lt;TODAY()),"Ended",IF(AND(H21&lt;&gt;"",H21&gt;TODAY()),"Not started",IF(OR(H21="",I21=""),"Dates missing","Active"))))</f>
        <v/>
      </c>
      <c r="K21" s="6" t="str">
        <f aca="false">IF(A21="","",IF(OR(B21="",C21="",D21="",E21=""),"Missing details",IF(E21&lt;=D21,"End must be after start",IF(SUMPRODUCT(($B$6:$B$30=B21)*($C$6:$C$30=C21)*($D$6:$D$30&lt;E21)*($E$6:$E$30&gt;D21))&gt;1,"Overlaps another row","OK"))))</f>
        <v/>
      </c>
      <c r="L21" s="5"/>
    </row>
    <row r="22" customFormat="false" ht="18" hidden="false" customHeight="true" outlineLevel="0" collapsed="false">
      <c r="A22" s="5"/>
      <c r="B22" s="5"/>
      <c r="C22" s="6"/>
      <c r="D22" s="7"/>
      <c r="E22" s="7"/>
      <c r="F22" s="8" t="str">
        <f aca="false">IF(OR(D22="",E22="",E22&lt;=D22),"",(E22-D22)*24)</f>
        <v/>
      </c>
      <c r="G22" s="6"/>
      <c r="H22" s="11"/>
      <c r="I22" s="11"/>
      <c r="J22" s="6" t="str">
        <f aca="true">IF(A22="","",IF(AND(I22&lt;&gt;"",I22&lt;TODAY()),"Ended",IF(AND(H22&lt;&gt;"",H22&gt;TODAY()),"Not started",IF(OR(H22="",I22=""),"Dates missing","Active"))))</f>
        <v/>
      </c>
      <c r="K22" s="6" t="str">
        <f aca="false">IF(A22="","",IF(OR(B22="",C22="",D22="",E22=""),"Missing details",IF(E22&lt;=D22,"End must be after start",IF(SUMPRODUCT(($B$6:$B$30=B22)*($C$6:$C$30=C22)*($D$6:$D$30&lt;E22)*($E$6:$E$30&gt;D22))&gt;1,"Overlaps another row","OK"))))</f>
        <v/>
      </c>
      <c r="L22" s="5"/>
    </row>
    <row r="23" customFormat="false" ht="18" hidden="false" customHeight="true" outlineLevel="0" collapsed="false">
      <c r="A23" s="5"/>
      <c r="B23" s="5"/>
      <c r="C23" s="6"/>
      <c r="D23" s="7"/>
      <c r="E23" s="7"/>
      <c r="F23" s="8" t="str">
        <f aca="false">IF(OR(D23="",E23="",E23&lt;=D23),"",(E23-D23)*24)</f>
        <v/>
      </c>
      <c r="G23" s="6"/>
      <c r="H23" s="11"/>
      <c r="I23" s="11"/>
      <c r="J23" s="6" t="str">
        <f aca="true">IF(A23="","",IF(AND(I23&lt;&gt;"",I23&lt;TODAY()),"Ended",IF(AND(H23&lt;&gt;"",H23&gt;TODAY()),"Not started",IF(OR(H23="",I23=""),"Dates missing","Active"))))</f>
        <v/>
      </c>
      <c r="K23" s="6" t="str">
        <f aca="false">IF(A23="","",IF(OR(B23="",C23="",D23="",E23=""),"Missing details",IF(E23&lt;=D23,"End must be after start",IF(SUMPRODUCT(($B$6:$B$30=B23)*($C$6:$C$30=C23)*($D$6:$D$30&lt;E23)*($E$6:$E$30&gt;D23))&gt;1,"Overlaps another row","OK"))))</f>
        <v/>
      </c>
      <c r="L23" s="5"/>
    </row>
    <row r="24" customFormat="false" ht="18" hidden="false" customHeight="true" outlineLevel="0" collapsed="false">
      <c r="A24" s="5"/>
      <c r="B24" s="5"/>
      <c r="C24" s="6"/>
      <c r="D24" s="7"/>
      <c r="E24" s="7"/>
      <c r="F24" s="8" t="str">
        <f aca="false">IF(OR(D24="",E24="",E24&lt;=D24),"",(E24-D24)*24)</f>
        <v/>
      </c>
      <c r="G24" s="6"/>
      <c r="H24" s="11"/>
      <c r="I24" s="11"/>
      <c r="J24" s="6" t="str">
        <f aca="true">IF(A24="","",IF(AND(I24&lt;&gt;"",I24&lt;TODAY()),"Ended",IF(AND(H24&lt;&gt;"",H24&gt;TODAY()),"Not started",IF(OR(H24="",I24=""),"Dates missing","Active"))))</f>
        <v/>
      </c>
      <c r="K24" s="6" t="str">
        <f aca="false">IF(A24="","",IF(OR(B24="",C24="",D24="",E24=""),"Missing details",IF(E24&lt;=D24,"End must be after start",IF(SUMPRODUCT(($B$6:$B$30=B24)*($C$6:$C$30=C24)*($D$6:$D$30&lt;E24)*($E$6:$E$30&gt;D24))&gt;1,"Overlaps another row","OK"))))</f>
        <v/>
      </c>
      <c r="L24" s="5"/>
    </row>
    <row r="25" customFormat="false" ht="18" hidden="false" customHeight="true" outlineLevel="0" collapsed="false">
      <c r="A25" s="5"/>
      <c r="B25" s="5"/>
      <c r="C25" s="6"/>
      <c r="D25" s="7"/>
      <c r="E25" s="7"/>
      <c r="F25" s="8" t="str">
        <f aca="false">IF(OR(D25="",E25="",E25&lt;=D25),"",(E25-D25)*24)</f>
        <v/>
      </c>
      <c r="G25" s="6"/>
      <c r="H25" s="11"/>
      <c r="I25" s="11"/>
      <c r="J25" s="6" t="str">
        <f aca="true">IF(A25="","",IF(AND(I25&lt;&gt;"",I25&lt;TODAY()),"Ended",IF(AND(H25&lt;&gt;"",H25&gt;TODAY()),"Not started",IF(OR(H25="",I25=""),"Dates missing","Active"))))</f>
        <v/>
      </c>
      <c r="K25" s="6" t="str">
        <f aca="false">IF(A25="","",IF(OR(B25="",C25="",D25="",E25=""),"Missing details",IF(E25&lt;=D25,"End must be after start",IF(SUMPRODUCT(($B$6:$B$30=B25)*($C$6:$C$30=C25)*($D$6:$D$30&lt;E25)*($E$6:$E$30&gt;D25))&gt;1,"Overlaps another row","OK"))))</f>
        <v/>
      </c>
      <c r="L25" s="5"/>
    </row>
    <row r="26" customFormat="false" ht="18" hidden="false" customHeight="true" outlineLevel="0" collapsed="false">
      <c r="A26" s="5"/>
      <c r="B26" s="5"/>
      <c r="C26" s="6"/>
      <c r="D26" s="7"/>
      <c r="E26" s="7"/>
      <c r="F26" s="8" t="str">
        <f aca="false">IF(OR(D26="",E26="",E26&lt;=D26),"",(E26-D26)*24)</f>
        <v/>
      </c>
      <c r="G26" s="6"/>
      <c r="H26" s="11"/>
      <c r="I26" s="11"/>
      <c r="J26" s="6" t="str">
        <f aca="true">IF(A26="","",IF(AND(I26&lt;&gt;"",I26&lt;TODAY()),"Ended",IF(AND(H26&lt;&gt;"",H26&gt;TODAY()),"Not started",IF(OR(H26="",I26=""),"Dates missing","Active"))))</f>
        <v/>
      </c>
      <c r="K26" s="6" t="str">
        <f aca="false">IF(A26="","",IF(OR(B26="",C26="",D26="",E26=""),"Missing details",IF(E26&lt;=D26,"End must be after start",IF(SUMPRODUCT(($B$6:$B$30=B26)*($C$6:$C$30=C26)*($D$6:$D$30&lt;E26)*($E$6:$E$30&gt;D26))&gt;1,"Overlaps another row","OK"))))</f>
        <v/>
      </c>
      <c r="L26" s="5"/>
    </row>
    <row r="27" customFormat="false" ht="18" hidden="false" customHeight="true" outlineLevel="0" collapsed="false">
      <c r="A27" s="5"/>
      <c r="B27" s="5"/>
      <c r="C27" s="6"/>
      <c r="D27" s="7"/>
      <c r="E27" s="7"/>
      <c r="F27" s="8" t="str">
        <f aca="false">IF(OR(D27="",E27="",E27&lt;=D27),"",(E27-D27)*24)</f>
        <v/>
      </c>
      <c r="G27" s="6"/>
      <c r="H27" s="11"/>
      <c r="I27" s="11"/>
      <c r="J27" s="6" t="str">
        <f aca="true">IF(A27="","",IF(AND(I27&lt;&gt;"",I27&lt;TODAY()),"Ended",IF(AND(H27&lt;&gt;"",H27&gt;TODAY()),"Not started",IF(OR(H27="",I27=""),"Dates missing","Active"))))</f>
        <v/>
      </c>
      <c r="K27" s="6" t="str">
        <f aca="false">IF(A27="","",IF(OR(B27="",C27="",D27="",E27=""),"Missing details",IF(E27&lt;=D27,"End must be after start",IF(SUMPRODUCT(($B$6:$B$30=B27)*($C$6:$C$30=C27)*($D$6:$D$30&lt;E27)*($E$6:$E$30&gt;D27))&gt;1,"Overlaps another row","OK"))))</f>
        <v/>
      </c>
      <c r="L27" s="5"/>
    </row>
    <row r="28" customFormat="false" ht="18" hidden="false" customHeight="true" outlineLevel="0" collapsed="false">
      <c r="A28" s="5"/>
      <c r="B28" s="5"/>
      <c r="C28" s="6"/>
      <c r="D28" s="7"/>
      <c r="E28" s="7"/>
      <c r="F28" s="8" t="str">
        <f aca="false">IF(OR(D28="",E28="",E28&lt;=D28),"",(E28-D28)*24)</f>
        <v/>
      </c>
      <c r="G28" s="6"/>
      <c r="H28" s="11"/>
      <c r="I28" s="11"/>
      <c r="J28" s="6" t="str">
        <f aca="true">IF(A28="","",IF(AND(I28&lt;&gt;"",I28&lt;TODAY()),"Ended",IF(AND(H28&lt;&gt;"",H28&gt;TODAY()),"Not started",IF(OR(H28="",I28=""),"Dates missing","Active"))))</f>
        <v/>
      </c>
      <c r="K28" s="6" t="str">
        <f aca="false">IF(A28="","",IF(OR(B28="",C28="",D28="",E28=""),"Missing details",IF(E28&lt;=D28,"End must be after start",IF(SUMPRODUCT(($B$6:$B$30=B28)*($C$6:$C$30=C28)*($D$6:$D$30&lt;E28)*($E$6:$E$30&gt;D28))&gt;1,"Overlaps another row","OK"))))</f>
        <v/>
      </c>
      <c r="L28" s="5"/>
    </row>
    <row r="29" customFormat="false" ht="18" hidden="false" customHeight="true" outlineLevel="0" collapsed="false">
      <c r="A29" s="5"/>
      <c r="B29" s="5"/>
      <c r="C29" s="6"/>
      <c r="D29" s="7"/>
      <c r="E29" s="7"/>
      <c r="F29" s="8" t="str">
        <f aca="false">IF(OR(D29="",E29="",E29&lt;=D29),"",(E29-D29)*24)</f>
        <v/>
      </c>
      <c r="G29" s="6"/>
      <c r="H29" s="11"/>
      <c r="I29" s="11"/>
      <c r="J29" s="6" t="str">
        <f aca="true">IF(A29="","",IF(AND(I29&lt;&gt;"",I29&lt;TODAY()),"Ended",IF(AND(H29&lt;&gt;"",H29&gt;TODAY()),"Not started",IF(OR(H29="",I29=""),"Dates missing","Active"))))</f>
        <v/>
      </c>
      <c r="K29" s="6" t="str">
        <f aca="false">IF(A29="","",IF(OR(B29="",C29="",D29="",E29=""),"Missing details",IF(E29&lt;=D29,"End must be after start",IF(SUMPRODUCT(($B$6:$B$30=B29)*($C$6:$C$30=C29)*($D$6:$D$30&lt;E29)*($E$6:$E$30&gt;D29))&gt;1,"Overlaps another row","OK"))))</f>
        <v/>
      </c>
      <c r="L29" s="5"/>
    </row>
    <row r="30" customFormat="false" ht="18" hidden="false" customHeight="true" outlineLevel="0" collapsed="false">
      <c r="A30" s="5"/>
      <c r="B30" s="5"/>
      <c r="C30" s="6"/>
      <c r="D30" s="7"/>
      <c r="E30" s="7"/>
      <c r="F30" s="8" t="str">
        <f aca="false">IF(OR(D30="",E30="",E30&lt;=D30),"",(E30-D30)*24)</f>
        <v/>
      </c>
      <c r="G30" s="6"/>
      <c r="H30" s="11"/>
      <c r="I30" s="11"/>
      <c r="J30" s="6" t="str">
        <f aca="true">IF(A30="","",IF(AND(I30&lt;&gt;"",I30&lt;TODAY()),"Ended",IF(AND(H30&lt;&gt;"",H30&gt;TODAY()),"Not started",IF(OR(H30="",I30=""),"Dates missing","Active"))))</f>
        <v/>
      </c>
      <c r="K30" s="6" t="str">
        <f aca="false">IF(A30="","",IF(OR(B30="",C30="",D30="",E30=""),"Missing details",IF(E30&lt;=D30,"End must be after start",IF(SUMPRODUCT(($B$6:$B$30=B30)*($C$6:$C$30=C30)*($D$6:$D$30&lt;E30)*($E$6:$E$30&gt;D30))&gt;1,"Overlaps another row","OK"))))</f>
        <v/>
      </c>
      <c r="L30" s="5"/>
    </row>
    <row r="32" customFormat="false" ht="15" hidden="false" customHeight="false" outlineLevel="0" collapsed="false">
      <c r="A32" s="12" t="s">
        <v>24</v>
      </c>
      <c r="B32" s="12"/>
      <c r="C32" s="12"/>
      <c r="D32" s="12"/>
      <c r="E32" s="12"/>
      <c r="F32" s="13" t="n">
        <f aca="false">SUMIFS(F6:F30,J6:J30,"&lt;&gt;Ended",J6:J30,"&lt;&gt;Not started")</f>
        <v>6</v>
      </c>
    </row>
  </sheetData>
  <mergeCells count="3">
    <mergeCell ref="A2:L2"/>
    <mergeCell ref="A3:L3"/>
    <mergeCell ref="A32:E32"/>
  </mergeCells>
  <conditionalFormatting sqref="K6:K30">
    <cfRule type="expression" priority="2" aboveAverage="0" equalAverage="0" bottom="0" percent="0" rank="0" text="" dxfId="0">
      <formula>AND(K6&lt;&gt;"",K6&lt;&gt;"OK")</formula>
    </cfRule>
  </conditionalFormatting>
  <conditionalFormatting sqref="J6:J30">
    <cfRule type="expression" priority="3" aboveAverage="0" equalAverage="0" bottom="0" percent="0" rank="0" text="" dxfId="1">
      <formula>J6="Ended"</formula>
    </cfRule>
  </conditionalFormatting>
  <dataValidations count="4">
    <dataValidation allowBlank="true" errorStyle="stop" operator="between" showDropDown="false" showErrorMessage="false" showInputMessage="false" sqref="C6:C30" type="list">
      <formula1>"Monday,Tuesday,Wednesday,Thursday,Friday,Saturday,Sunday"</formula1>
      <formula2>0</formula2>
    </dataValidation>
    <dataValidation allowBlank="true" errorStyle="stop" operator="between" showDropDown="false" showErrorMessage="false" showInputMessage="false" sqref="G6:G30" type="list">
      <formula1>"Monthly,Annual"</formula1>
      <formula2>0</formula2>
    </dataValidation>
    <dataValidation allowBlank="true" errorStyle="stop" operator="between" showDropDown="false" showErrorMessage="false" showInputMessage="false" sqref="B6:B30" type="list">
      <formula1>"Multi-Purpose Court,5-A-Side Pitch A,5-A-Side Pitch B"</formula1>
      <formula2>0</formula2>
    </dataValidation>
    <dataValidation allowBlank="true" error="Please enter a date as DD/MM/YYYY" errorStyle="stop" operator="greaterThan" showDropDown="false" showErrorMessage="true" showInputMessage="false" sqref="H6:I30" type="date">
      <formula1>DATE(2020,1,1)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8" min="2" style="0" width="15"/>
  </cols>
  <sheetData>
    <row r="1" customFormat="false" ht="17.35" hidden="false" customHeight="false" outlineLevel="0" collapsed="false">
      <c r="A1" s="1" t="s">
        <v>25</v>
      </c>
    </row>
    <row r="2" customFormat="false" ht="15" hidden="false" customHeight="true" outlineLevel="0" collapsed="false">
      <c r="A2" s="2" t="s">
        <v>26</v>
      </c>
      <c r="B2" s="2"/>
      <c r="C2" s="2"/>
      <c r="D2" s="2"/>
      <c r="E2" s="2"/>
      <c r="F2" s="2"/>
      <c r="G2" s="2"/>
      <c r="H2" s="2"/>
    </row>
    <row r="3" customFormat="false" ht="15" hidden="false" customHeight="false" outlineLevel="0" collapsed="false">
      <c r="A3" s="14" t="s">
        <v>27</v>
      </c>
      <c r="B3" s="15" t="s">
        <v>16</v>
      </c>
      <c r="C3" s="15"/>
    </row>
    <row r="5" customFormat="false" ht="15" hidden="false" customHeight="false" outlineLevel="0" collapsed="false">
      <c r="A5" s="4" t="s">
        <v>28</v>
      </c>
      <c r="B5" s="4" t="s">
        <v>29</v>
      </c>
      <c r="C5" s="4" t="s">
        <v>30</v>
      </c>
      <c r="D5" s="4" t="s">
        <v>31</v>
      </c>
      <c r="E5" s="4" t="s">
        <v>32</v>
      </c>
      <c r="F5" s="4" t="s">
        <v>33</v>
      </c>
      <c r="G5" s="4" t="s">
        <v>34</v>
      </c>
      <c r="H5" s="4" t="s">
        <v>35</v>
      </c>
    </row>
    <row r="6" customFormat="false" ht="18" hidden="false" customHeight="true" outlineLevel="0" collapsed="false">
      <c r="A6" s="16" t="n">
        <v>0.291666666666667</v>
      </c>
      <c r="B6" s="17" t="str">
        <f aca="false">IF(SUMPRODUCT(('Regular Clients'!$C$6:$C$30=B$5)*('Regular Clients'!$B$6:$B$30=$B$3)*('Regular Clients'!$D$6:$D$30&lt;=$A6)*('Regular Clients'!$E$6:$E$30&gt;$A6)*('Regular Clients'!$J$6:$J$30&lt;&gt;"Ended")*('Regular Clients'!$J$6:$J$30&lt;&gt;"Not started"))=0,"",IF(SUMPRODUCT(('Regular Clients'!$C$6:$C$30=B$5)*('Regular Clients'!$B$6:$B$30=$B$3)*('Regular Clients'!$D$6:$D$30&lt;=$A6)*('Regular Clients'!$E$6:$E$30&gt;$A6)*('Regular Clients'!$J$6:$J$30&lt;&gt;"Ended")*('Regular Clients'!$J$6:$J$30&lt;&gt;"Not started"))&gt;1,"CLASH",INDEX('Regular Clients'!$A$6:$A$30,SUMPRODUCT(MAX(('Regular Clients'!$C$6:$C$30=B$5)*('Regular Clients'!$B$6:$B$30=$B$3)*('Regular Clients'!$D$6:$D$30&lt;=$A6)*('Regular Clients'!$E$6:$E$30&gt;$A6)*('Regular Clients'!$J$6:$J$30&lt;&gt;"Ended")*('Regular Clients'!$J$6:$J$30&lt;&gt;"Not started")*(ROW('Regular Clients'!$A$6:$A$30)-ROW('Regular Clients'!$A$6)+1))))))</f>
        <v/>
      </c>
      <c r="C6" s="17" t="str">
        <f aca="false">IF(SUMPRODUCT(('Regular Clients'!$C$6:$C$30=C$5)*('Regular Clients'!$B$6:$B$30=$B$3)*('Regular Clients'!$D$6:$D$30&lt;=$A6)*('Regular Clients'!$E$6:$E$30&gt;$A6)*('Regular Clients'!$J$6:$J$30&lt;&gt;"Ended")*('Regular Clients'!$J$6:$J$30&lt;&gt;"Not started"))=0,"",IF(SUMPRODUCT(('Regular Clients'!$C$6:$C$30=C$5)*('Regular Clients'!$B$6:$B$30=$B$3)*('Regular Clients'!$D$6:$D$30&lt;=$A6)*('Regular Clients'!$E$6:$E$30&gt;$A6)*('Regular Clients'!$J$6:$J$30&lt;&gt;"Ended")*('Regular Clients'!$J$6:$J$30&lt;&gt;"Not started"))&gt;1,"CLASH",INDEX('Regular Clients'!$A$6:$A$30,SUMPRODUCT(MAX(('Regular Clients'!$C$6:$C$30=C$5)*('Regular Clients'!$B$6:$B$30=$B$3)*('Regular Clients'!$D$6:$D$30&lt;=$A6)*('Regular Clients'!$E$6:$E$30&gt;$A6)*('Regular Clients'!$J$6:$J$30&lt;&gt;"Ended")*('Regular Clients'!$J$6:$J$30&lt;&gt;"Not started")*(ROW('Regular Clients'!$A$6:$A$30)-ROW('Regular Clients'!$A$6)+1))))))</f>
        <v/>
      </c>
      <c r="D6" s="17" t="str">
        <f aca="false">IF(SUMPRODUCT(('Regular Clients'!$C$6:$C$30=D$5)*('Regular Clients'!$B$6:$B$30=$B$3)*('Regular Clients'!$D$6:$D$30&lt;=$A6)*('Regular Clients'!$E$6:$E$30&gt;$A6)*('Regular Clients'!$J$6:$J$30&lt;&gt;"Ended")*('Regular Clients'!$J$6:$J$30&lt;&gt;"Not started"))=0,"",IF(SUMPRODUCT(('Regular Clients'!$C$6:$C$30=D$5)*('Regular Clients'!$B$6:$B$30=$B$3)*('Regular Clients'!$D$6:$D$30&lt;=$A6)*('Regular Clients'!$E$6:$E$30&gt;$A6)*('Regular Clients'!$J$6:$J$30&lt;&gt;"Ended")*('Regular Clients'!$J$6:$J$30&lt;&gt;"Not started"))&gt;1,"CLASH",INDEX('Regular Clients'!$A$6:$A$30,SUMPRODUCT(MAX(('Regular Clients'!$C$6:$C$30=D$5)*('Regular Clients'!$B$6:$B$30=$B$3)*('Regular Clients'!$D$6:$D$30&lt;=$A6)*('Regular Clients'!$E$6:$E$30&gt;$A6)*('Regular Clients'!$J$6:$J$30&lt;&gt;"Ended")*('Regular Clients'!$J$6:$J$30&lt;&gt;"Not started")*(ROW('Regular Clients'!$A$6:$A$30)-ROW('Regular Clients'!$A$6)+1))))))</f>
        <v/>
      </c>
      <c r="E6" s="17" t="str">
        <f aca="false">IF(SUMPRODUCT(('Regular Clients'!$C$6:$C$30=E$5)*('Regular Clients'!$B$6:$B$30=$B$3)*('Regular Clients'!$D$6:$D$30&lt;=$A6)*('Regular Clients'!$E$6:$E$30&gt;$A6)*('Regular Clients'!$J$6:$J$30&lt;&gt;"Ended")*('Regular Clients'!$J$6:$J$30&lt;&gt;"Not started"))=0,"",IF(SUMPRODUCT(('Regular Clients'!$C$6:$C$30=E$5)*('Regular Clients'!$B$6:$B$30=$B$3)*('Regular Clients'!$D$6:$D$30&lt;=$A6)*('Regular Clients'!$E$6:$E$30&gt;$A6)*('Regular Clients'!$J$6:$J$30&lt;&gt;"Ended")*('Regular Clients'!$J$6:$J$30&lt;&gt;"Not started"))&gt;1,"CLASH",INDEX('Regular Clients'!$A$6:$A$30,SUMPRODUCT(MAX(('Regular Clients'!$C$6:$C$30=E$5)*('Regular Clients'!$B$6:$B$30=$B$3)*('Regular Clients'!$D$6:$D$30&lt;=$A6)*('Regular Clients'!$E$6:$E$30&gt;$A6)*('Regular Clients'!$J$6:$J$30&lt;&gt;"Ended")*('Regular Clients'!$J$6:$J$30&lt;&gt;"Not started")*(ROW('Regular Clients'!$A$6:$A$30)-ROW('Regular Clients'!$A$6)+1))))))</f>
        <v/>
      </c>
      <c r="F6" s="17" t="str">
        <f aca="false">IF(SUMPRODUCT(('Regular Clients'!$C$6:$C$30=F$5)*('Regular Clients'!$B$6:$B$30=$B$3)*('Regular Clients'!$D$6:$D$30&lt;=$A6)*('Regular Clients'!$E$6:$E$30&gt;$A6)*('Regular Clients'!$J$6:$J$30&lt;&gt;"Ended")*('Regular Clients'!$J$6:$J$30&lt;&gt;"Not started"))=0,"",IF(SUMPRODUCT(('Regular Clients'!$C$6:$C$30=F$5)*('Regular Clients'!$B$6:$B$30=$B$3)*('Regular Clients'!$D$6:$D$30&lt;=$A6)*('Regular Clients'!$E$6:$E$30&gt;$A6)*('Regular Clients'!$J$6:$J$30&lt;&gt;"Ended")*('Regular Clients'!$J$6:$J$30&lt;&gt;"Not started"))&gt;1,"CLASH",INDEX('Regular Clients'!$A$6:$A$30,SUMPRODUCT(MAX(('Regular Clients'!$C$6:$C$30=F$5)*('Regular Clients'!$B$6:$B$30=$B$3)*('Regular Clients'!$D$6:$D$30&lt;=$A6)*('Regular Clients'!$E$6:$E$30&gt;$A6)*('Regular Clients'!$J$6:$J$30&lt;&gt;"Ended")*('Regular Clients'!$J$6:$J$30&lt;&gt;"Not started")*(ROW('Regular Clients'!$A$6:$A$30)-ROW('Regular Clients'!$A$6)+1))))))</f>
        <v/>
      </c>
      <c r="G6" s="17" t="str">
        <f aca="false">IF(SUMPRODUCT(('Regular Clients'!$C$6:$C$30=G$5)*('Regular Clients'!$B$6:$B$30=$B$3)*('Regular Clients'!$D$6:$D$30&lt;=$A6)*('Regular Clients'!$E$6:$E$30&gt;$A6)*('Regular Clients'!$J$6:$J$30&lt;&gt;"Ended")*('Regular Clients'!$J$6:$J$30&lt;&gt;"Not started"))=0,"",IF(SUMPRODUCT(('Regular Clients'!$C$6:$C$30=G$5)*('Regular Clients'!$B$6:$B$30=$B$3)*('Regular Clients'!$D$6:$D$30&lt;=$A6)*('Regular Clients'!$E$6:$E$30&gt;$A6)*('Regular Clients'!$J$6:$J$30&lt;&gt;"Ended")*('Regular Clients'!$J$6:$J$30&lt;&gt;"Not started"))&gt;1,"CLASH",INDEX('Regular Clients'!$A$6:$A$30,SUMPRODUCT(MAX(('Regular Clients'!$C$6:$C$30=G$5)*('Regular Clients'!$B$6:$B$30=$B$3)*('Regular Clients'!$D$6:$D$30&lt;=$A6)*('Regular Clients'!$E$6:$E$30&gt;$A6)*('Regular Clients'!$J$6:$J$30&lt;&gt;"Ended")*('Regular Clients'!$J$6:$J$30&lt;&gt;"Not started")*(ROW('Regular Clients'!$A$6:$A$30)-ROW('Regular Clients'!$A$6)+1))))))</f>
        <v/>
      </c>
      <c r="H6" s="17" t="str">
        <f aca="false">IF(SUMPRODUCT(('Regular Clients'!$C$6:$C$30=H$5)*('Regular Clients'!$B$6:$B$30=$B$3)*('Regular Clients'!$D$6:$D$30&lt;=$A6)*('Regular Clients'!$E$6:$E$30&gt;$A6)*('Regular Clients'!$J$6:$J$30&lt;&gt;"Ended")*('Regular Clients'!$J$6:$J$30&lt;&gt;"Not started"))=0,"",IF(SUMPRODUCT(('Regular Clients'!$C$6:$C$30=H$5)*('Regular Clients'!$B$6:$B$30=$B$3)*('Regular Clients'!$D$6:$D$30&lt;=$A6)*('Regular Clients'!$E$6:$E$30&gt;$A6)*('Regular Clients'!$J$6:$J$30&lt;&gt;"Ended")*('Regular Clients'!$J$6:$J$30&lt;&gt;"Not started"))&gt;1,"CLASH",INDEX('Regular Clients'!$A$6:$A$30,SUMPRODUCT(MAX(('Regular Clients'!$C$6:$C$30=H$5)*('Regular Clients'!$B$6:$B$30=$B$3)*('Regular Clients'!$D$6:$D$30&lt;=$A6)*('Regular Clients'!$E$6:$E$30&gt;$A6)*('Regular Clients'!$J$6:$J$30&lt;&gt;"Ended")*('Regular Clients'!$J$6:$J$30&lt;&gt;"Not started")*(ROW('Regular Clients'!$A$6:$A$30)-ROW('Regular Clients'!$A$6)+1))))))</f>
        <v/>
      </c>
    </row>
    <row r="7" customFormat="false" ht="18" hidden="false" customHeight="true" outlineLevel="0" collapsed="false">
      <c r="A7" s="16" t="n">
        <v>0.333333333333333</v>
      </c>
      <c r="B7" s="17" t="str">
        <f aca="false">IF(SUMPRODUCT(('Regular Clients'!$C$6:$C$30=B$5)*('Regular Clients'!$B$6:$B$30=$B$3)*('Regular Clients'!$D$6:$D$30&lt;=$A7)*('Regular Clients'!$E$6:$E$30&gt;$A7)*('Regular Clients'!$J$6:$J$30&lt;&gt;"Ended")*('Regular Clients'!$J$6:$J$30&lt;&gt;"Not started"))=0,"",IF(SUMPRODUCT(('Regular Clients'!$C$6:$C$30=B$5)*('Regular Clients'!$B$6:$B$30=$B$3)*('Regular Clients'!$D$6:$D$30&lt;=$A7)*('Regular Clients'!$E$6:$E$30&gt;$A7)*('Regular Clients'!$J$6:$J$30&lt;&gt;"Ended")*('Regular Clients'!$J$6:$J$30&lt;&gt;"Not started"))&gt;1,"CLASH",INDEX('Regular Clients'!$A$6:$A$30,SUMPRODUCT(MAX(('Regular Clients'!$C$6:$C$30=B$5)*('Regular Clients'!$B$6:$B$30=$B$3)*('Regular Clients'!$D$6:$D$30&lt;=$A7)*('Regular Clients'!$E$6:$E$30&gt;$A7)*('Regular Clients'!$J$6:$J$30&lt;&gt;"Ended")*('Regular Clients'!$J$6:$J$30&lt;&gt;"Not started")*(ROW('Regular Clients'!$A$6:$A$30)-ROW('Regular Clients'!$A$6)+1))))))</f>
        <v/>
      </c>
      <c r="C7" s="17" t="str">
        <f aca="false">IF(SUMPRODUCT(('Regular Clients'!$C$6:$C$30=C$5)*('Regular Clients'!$B$6:$B$30=$B$3)*('Regular Clients'!$D$6:$D$30&lt;=$A7)*('Regular Clients'!$E$6:$E$30&gt;$A7)*('Regular Clients'!$J$6:$J$30&lt;&gt;"Ended")*('Regular Clients'!$J$6:$J$30&lt;&gt;"Not started"))=0,"",IF(SUMPRODUCT(('Regular Clients'!$C$6:$C$30=C$5)*('Regular Clients'!$B$6:$B$30=$B$3)*('Regular Clients'!$D$6:$D$30&lt;=$A7)*('Regular Clients'!$E$6:$E$30&gt;$A7)*('Regular Clients'!$J$6:$J$30&lt;&gt;"Ended")*('Regular Clients'!$J$6:$J$30&lt;&gt;"Not started"))&gt;1,"CLASH",INDEX('Regular Clients'!$A$6:$A$30,SUMPRODUCT(MAX(('Regular Clients'!$C$6:$C$30=C$5)*('Regular Clients'!$B$6:$B$30=$B$3)*('Regular Clients'!$D$6:$D$30&lt;=$A7)*('Regular Clients'!$E$6:$E$30&gt;$A7)*('Regular Clients'!$J$6:$J$30&lt;&gt;"Ended")*('Regular Clients'!$J$6:$J$30&lt;&gt;"Not started")*(ROW('Regular Clients'!$A$6:$A$30)-ROW('Regular Clients'!$A$6)+1))))))</f>
        <v/>
      </c>
      <c r="D7" s="17" t="str">
        <f aca="false">IF(SUMPRODUCT(('Regular Clients'!$C$6:$C$30=D$5)*('Regular Clients'!$B$6:$B$30=$B$3)*('Regular Clients'!$D$6:$D$30&lt;=$A7)*('Regular Clients'!$E$6:$E$30&gt;$A7)*('Regular Clients'!$J$6:$J$30&lt;&gt;"Ended")*('Regular Clients'!$J$6:$J$30&lt;&gt;"Not started"))=0,"",IF(SUMPRODUCT(('Regular Clients'!$C$6:$C$30=D$5)*('Regular Clients'!$B$6:$B$30=$B$3)*('Regular Clients'!$D$6:$D$30&lt;=$A7)*('Regular Clients'!$E$6:$E$30&gt;$A7)*('Regular Clients'!$J$6:$J$30&lt;&gt;"Ended")*('Regular Clients'!$J$6:$J$30&lt;&gt;"Not started"))&gt;1,"CLASH",INDEX('Regular Clients'!$A$6:$A$30,SUMPRODUCT(MAX(('Regular Clients'!$C$6:$C$30=D$5)*('Regular Clients'!$B$6:$B$30=$B$3)*('Regular Clients'!$D$6:$D$30&lt;=$A7)*('Regular Clients'!$E$6:$E$30&gt;$A7)*('Regular Clients'!$J$6:$J$30&lt;&gt;"Ended")*('Regular Clients'!$J$6:$J$30&lt;&gt;"Not started")*(ROW('Regular Clients'!$A$6:$A$30)-ROW('Regular Clients'!$A$6)+1))))))</f>
        <v/>
      </c>
      <c r="E7" s="17" t="str">
        <f aca="false">IF(SUMPRODUCT(('Regular Clients'!$C$6:$C$30=E$5)*('Regular Clients'!$B$6:$B$30=$B$3)*('Regular Clients'!$D$6:$D$30&lt;=$A7)*('Regular Clients'!$E$6:$E$30&gt;$A7)*('Regular Clients'!$J$6:$J$30&lt;&gt;"Ended")*('Regular Clients'!$J$6:$J$30&lt;&gt;"Not started"))=0,"",IF(SUMPRODUCT(('Regular Clients'!$C$6:$C$30=E$5)*('Regular Clients'!$B$6:$B$30=$B$3)*('Regular Clients'!$D$6:$D$30&lt;=$A7)*('Regular Clients'!$E$6:$E$30&gt;$A7)*('Regular Clients'!$J$6:$J$30&lt;&gt;"Ended")*('Regular Clients'!$J$6:$J$30&lt;&gt;"Not started"))&gt;1,"CLASH",INDEX('Regular Clients'!$A$6:$A$30,SUMPRODUCT(MAX(('Regular Clients'!$C$6:$C$30=E$5)*('Regular Clients'!$B$6:$B$30=$B$3)*('Regular Clients'!$D$6:$D$30&lt;=$A7)*('Regular Clients'!$E$6:$E$30&gt;$A7)*('Regular Clients'!$J$6:$J$30&lt;&gt;"Ended")*('Regular Clients'!$J$6:$J$30&lt;&gt;"Not started")*(ROW('Regular Clients'!$A$6:$A$30)-ROW('Regular Clients'!$A$6)+1))))))</f>
        <v/>
      </c>
      <c r="F7" s="17" t="str">
        <f aca="false">IF(SUMPRODUCT(('Regular Clients'!$C$6:$C$30=F$5)*('Regular Clients'!$B$6:$B$30=$B$3)*('Regular Clients'!$D$6:$D$30&lt;=$A7)*('Regular Clients'!$E$6:$E$30&gt;$A7)*('Regular Clients'!$J$6:$J$30&lt;&gt;"Ended")*('Regular Clients'!$J$6:$J$30&lt;&gt;"Not started"))=0,"",IF(SUMPRODUCT(('Regular Clients'!$C$6:$C$30=F$5)*('Regular Clients'!$B$6:$B$30=$B$3)*('Regular Clients'!$D$6:$D$30&lt;=$A7)*('Regular Clients'!$E$6:$E$30&gt;$A7)*('Regular Clients'!$J$6:$J$30&lt;&gt;"Ended")*('Regular Clients'!$J$6:$J$30&lt;&gt;"Not started"))&gt;1,"CLASH",INDEX('Regular Clients'!$A$6:$A$30,SUMPRODUCT(MAX(('Regular Clients'!$C$6:$C$30=F$5)*('Regular Clients'!$B$6:$B$30=$B$3)*('Regular Clients'!$D$6:$D$30&lt;=$A7)*('Regular Clients'!$E$6:$E$30&gt;$A7)*('Regular Clients'!$J$6:$J$30&lt;&gt;"Ended")*('Regular Clients'!$J$6:$J$30&lt;&gt;"Not started")*(ROW('Regular Clients'!$A$6:$A$30)-ROW('Regular Clients'!$A$6)+1))))))</f>
        <v/>
      </c>
      <c r="G7" s="17" t="str">
        <f aca="false">IF(SUMPRODUCT(('Regular Clients'!$C$6:$C$30=G$5)*('Regular Clients'!$B$6:$B$30=$B$3)*('Regular Clients'!$D$6:$D$30&lt;=$A7)*('Regular Clients'!$E$6:$E$30&gt;$A7)*('Regular Clients'!$J$6:$J$30&lt;&gt;"Ended")*('Regular Clients'!$J$6:$J$30&lt;&gt;"Not started"))=0,"",IF(SUMPRODUCT(('Regular Clients'!$C$6:$C$30=G$5)*('Regular Clients'!$B$6:$B$30=$B$3)*('Regular Clients'!$D$6:$D$30&lt;=$A7)*('Regular Clients'!$E$6:$E$30&gt;$A7)*('Regular Clients'!$J$6:$J$30&lt;&gt;"Ended")*('Regular Clients'!$J$6:$J$30&lt;&gt;"Not started"))&gt;1,"CLASH",INDEX('Regular Clients'!$A$6:$A$30,SUMPRODUCT(MAX(('Regular Clients'!$C$6:$C$30=G$5)*('Regular Clients'!$B$6:$B$30=$B$3)*('Regular Clients'!$D$6:$D$30&lt;=$A7)*('Regular Clients'!$E$6:$E$30&gt;$A7)*('Regular Clients'!$J$6:$J$30&lt;&gt;"Ended")*('Regular Clients'!$J$6:$J$30&lt;&gt;"Not started")*(ROW('Regular Clients'!$A$6:$A$30)-ROW('Regular Clients'!$A$6)+1))))))</f>
        <v/>
      </c>
      <c r="H7" s="17" t="str">
        <f aca="false">IF(SUMPRODUCT(('Regular Clients'!$C$6:$C$30=H$5)*('Regular Clients'!$B$6:$B$30=$B$3)*('Regular Clients'!$D$6:$D$30&lt;=$A7)*('Regular Clients'!$E$6:$E$30&gt;$A7)*('Regular Clients'!$J$6:$J$30&lt;&gt;"Ended")*('Regular Clients'!$J$6:$J$30&lt;&gt;"Not started"))=0,"",IF(SUMPRODUCT(('Regular Clients'!$C$6:$C$30=H$5)*('Regular Clients'!$B$6:$B$30=$B$3)*('Regular Clients'!$D$6:$D$30&lt;=$A7)*('Regular Clients'!$E$6:$E$30&gt;$A7)*('Regular Clients'!$J$6:$J$30&lt;&gt;"Ended")*('Regular Clients'!$J$6:$J$30&lt;&gt;"Not started"))&gt;1,"CLASH",INDEX('Regular Clients'!$A$6:$A$30,SUMPRODUCT(MAX(('Regular Clients'!$C$6:$C$30=H$5)*('Regular Clients'!$B$6:$B$30=$B$3)*('Regular Clients'!$D$6:$D$30&lt;=$A7)*('Regular Clients'!$E$6:$E$30&gt;$A7)*('Regular Clients'!$J$6:$J$30&lt;&gt;"Ended")*('Regular Clients'!$J$6:$J$30&lt;&gt;"Not started")*(ROW('Regular Clients'!$A$6:$A$30)-ROW('Regular Clients'!$A$6)+1))))))</f>
        <v/>
      </c>
    </row>
    <row r="8" customFormat="false" ht="18" hidden="false" customHeight="true" outlineLevel="0" collapsed="false">
      <c r="A8" s="16" t="n">
        <v>0.375</v>
      </c>
      <c r="B8" s="17" t="str">
        <f aca="false">IF(SUMPRODUCT(('Regular Clients'!$C$6:$C$30=B$5)*('Regular Clients'!$B$6:$B$30=$B$3)*('Regular Clients'!$D$6:$D$30&lt;=$A8)*('Regular Clients'!$E$6:$E$30&gt;$A8)*('Regular Clients'!$J$6:$J$30&lt;&gt;"Ended")*('Regular Clients'!$J$6:$J$30&lt;&gt;"Not started"))=0,"",IF(SUMPRODUCT(('Regular Clients'!$C$6:$C$30=B$5)*('Regular Clients'!$B$6:$B$30=$B$3)*('Regular Clients'!$D$6:$D$30&lt;=$A8)*('Regular Clients'!$E$6:$E$30&gt;$A8)*('Regular Clients'!$J$6:$J$30&lt;&gt;"Ended")*('Regular Clients'!$J$6:$J$30&lt;&gt;"Not started"))&gt;1,"CLASH",INDEX('Regular Clients'!$A$6:$A$30,SUMPRODUCT(MAX(('Regular Clients'!$C$6:$C$30=B$5)*('Regular Clients'!$B$6:$B$30=$B$3)*('Regular Clients'!$D$6:$D$30&lt;=$A8)*('Regular Clients'!$E$6:$E$30&gt;$A8)*('Regular Clients'!$J$6:$J$30&lt;&gt;"Ended")*('Regular Clients'!$J$6:$J$30&lt;&gt;"Not started")*(ROW('Regular Clients'!$A$6:$A$30)-ROW('Regular Clients'!$A$6)+1))))))</f>
        <v/>
      </c>
      <c r="C8" s="17" t="str">
        <f aca="false">IF(SUMPRODUCT(('Regular Clients'!$C$6:$C$30=C$5)*('Regular Clients'!$B$6:$B$30=$B$3)*('Regular Clients'!$D$6:$D$30&lt;=$A8)*('Regular Clients'!$E$6:$E$30&gt;$A8)*('Regular Clients'!$J$6:$J$30&lt;&gt;"Ended")*('Regular Clients'!$J$6:$J$30&lt;&gt;"Not started"))=0,"",IF(SUMPRODUCT(('Regular Clients'!$C$6:$C$30=C$5)*('Regular Clients'!$B$6:$B$30=$B$3)*('Regular Clients'!$D$6:$D$30&lt;=$A8)*('Regular Clients'!$E$6:$E$30&gt;$A8)*('Regular Clients'!$J$6:$J$30&lt;&gt;"Ended")*('Regular Clients'!$J$6:$J$30&lt;&gt;"Not started"))&gt;1,"CLASH",INDEX('Regular Clients'!$A$6:$A$30,SUMPRODUCT(MAX(('Regular Clients'!$C$6:$C$30=C$5)*('Regular Clients'!$B$6:$B$30=$B$3)*('Regular Clients'!$D$6:$D$30&lt;=$A8)*('Regular Clients'!$E$6:$E$30&gt;$A8)*('Regular Clients'!$J$6:$J$30&lt;&gt;"Ended")*('Regular Clients'!$J$6:$J$30&lt;&gt;"Not started")*(ROW('Regular Clients'!$A$6:$A$30)-ROW('Regular Clients'!$A$6)+1))))))</f>
        <v/>
      </c>
      <c r="D8" s="17" t="str">
        <f aca="false">IF(SUMPRODUCT(('Regular Clients'!$C$6:$C$30=D$5)*('Regular Clients'!$B$6:$B$30=$B$3)*('Regular Clients'!$D$6:$D$30&lt;=$A8)*('Regular Clients'!$E$6:$E$30&gt;$A8)*('Regular Clients'!$J$6:$J$30&lt;&gt;"Ended")*('Regular Clients'!$J$6:$J$30&lt;&gt;"Not started"))=0,"",IF(SUMPRODUCT(('Regular Clients'!$C$6:$C$30=D$5)*('Regular Clients'!$B$6:$B$30=$B$3)*('Regular Clients'!$D$6:$D$30&lt;=$A8)*('Regular Clients'!$E$6:$E$30&gt;$A8)*('Regular Clients'!$J$6:$J$30&lt;&gt;"Ended")*('Regular Clients'!$J$6:$J$30&lt;&gt;"Not started"))&gt;1,"CLASH",INDEX('Regular Clients'!$A$6:$A$30,SUMPRODUCT(MAX(('Regular Clients'!$C$6:$C$30=D$5)*('Regular Clients'!$B$6:$B$30=$B$3)*('Regular Clients'!$D$6:$D$30&lt;=$A8)*('Regular Clients'!$E$6:$E$30&gt;$A8)*('Regular Clients'!$J$6:$J$30&lt;&gt;"Ended")*('Regular Clients'!$J$6:$J$30&lt;&gt;"Not started")*(ROW('Regular Clients'!$A$6:$A$30)-ROW('Regular Clients'!$A$6)+1))))))</f>
        <v/>
      </c>
      <c r="E8" s="17" t="str">
        <f aca="false">IF(SUMPRODUCT(('Regular Clients'!$C$6:$C$30=E$5)*('Regular Clients'!$B$6:$B$30=$B$3)*('Regular Clients'!$D$6:$D$30&lt;=$A8)*('Regular Clients'!$E$6:$E$30&gt;$A8)*('Regular Clients'!$J$6:$J$30&lt;&gt;"Ended")*('Regular Clients'!$J$6:$J$30&lt;&gt;"Not started"))=0,"",IF(SUMPRODUCT(('Regular Clients'!$C$6:$C$30=E$5)*('Regular Clients'!$B$6:$B$30=$B$3)*('Regular Clients'!$D$6:$D$30&lt;=$A8)*('Regular Clients'!$E$6:$E$30&gt;$A8)*('Regular Clients'!$J$6:$J$30&lt;&gt;"Ended")*('Regular Clients'!$J$6:$J$30&lt;&gt;"Not started"))&gt;1,"CLASH",INDEX('Regular Clients'!$A$6:$A$30,SUMPRODUCT(MAX(('Regular Clients'!$C$6:$C$30=E$5)*('Regular Clients'!$B$6:$B$30=$B$3)*('Regular Clients'!$D$6:$D$30&lt;=$A8)*('Regular Clients'!$E$6:$E$30&gt;$A8)*('Regular Clients'!$J$6:$J$30&lt;&gt;"Ended")*('Regular Clients'!$J$6:$J$30&lt;&gt;"Not started")*(ROW('Regular Clients'!$A$6:$A$30)-ROW('Regular Clients'!$A$6)+1))))))</f>
        <v/>
      </c>
      <c r="F8" s="17" t="str">
        <f aca="false">IF(SUMPRODUCT(('Regular Clients'!$C$6:$C$30=F$5)*('Regular Clients'!$B$6:$B$30=$B$3)*('Regular Clients'!$D$6:$D$30&lt;=$A8)*('Regular Clients'!$E$6:$E$30&gt;$A8)*('Regular Clients'!$J$6:$J$30&lt;&gt;"Ended")*('Regular Clients'!$J$6:$J$30&lt;&gt;"Not started"))=0,"",IF(SUMPRODUCT(('Regular Clients'!$C$6:$C$30=F$5)*('Regular Clients'!$B$6:$B$30=$B$3)*('Regular Clients'!$D$6:$D$30&lt;=$A8)*('Regular Clients'!$E$6:$E$30&gt;$A8)*('Regular Clients'!$J$6:$J$30&lt;&gt;"Ended")*('Regular Clients'!$J$6:$J$30&lt;&gt;"Not started"))&gt;1,"CLASH",INDEX('Regular Clients'!$A$6:$A$30,SUMPRODUCT(MAX(('Regular Clients'!$C$6:$C$30=F$5)*('Regular Clients'!$B$6:$B$30=$B$3)*('Regular Clients'!$D$6:$D$30&lt;=$A8)*('Regular Clients'!$E$6:$E$30&gt;$A8)*('Regular Clients'!$J$6:$J$30&lt;&gt;"Ended")*('Regular Clients'!$J$6:$J$30&lt;&gt;"Not started")*(ROW('Regular Clients'!$A$6:$A$30)-ROW('Regular Clients'!$A$6)+1))))))</f>
        <v/>
      </c>
      <c r="G8" s="17" t="str">
        <f aca="false">IF(SUMPRODUCT(('Regular Clients'!$C$6:$C$30=G$5)*('Regular Clients'!$B$6:$B$30=$B$3)*('Regular Clients'!$D$6:$D$30&lt;=$A8)*('Regular Clients'!$E$6:$E$30&gt;$A8)*('Regular Clients'!$J$6:$J$30&lt;&gt;"Ended")*('Regular Clients'!$J$6:$J$30&lt;&gt;"Not started"))=0,"",IF(SUMPRODUCT(('Regular Clients'!$C$6:$C$30=G$5)*('Regular Clients'!$B$6:$B$30=$B$3)*('Regular Clients'!$D$6:$D$30&lt;=$A8)*('Regular Clients'!$E$6:$E$30&gt;$A8)*('Regular Clients'!$J$6:$J$30&lt;&gt;"Ended")*('Regular Clients'!$J$6:$J$30&lt;&gt;"Not started"))&gt;1,"CLASH",INDEX('Regular Clients'!$A$6:$A$30,SUMPRODUCT(MAX(('Regular Clients'!$C$6:$C$30=G$5)*('Regular Clients'!$B$6:$B$30=$B$3)*('Regular Clients'!$D$6:$D$30&lt;=$A8)*('Regular Clients'!$E$6:$E$30&gt;$A8)*('Regular Clients'!$J$6:$J$30&lt;&gt;"Ended")*('Regular Clients'!$J$6:$J$30&lt;&gt;"Not started")*(ROW('Regular Clients'!$A$6:$A$30)-ROW('Regular Clients'!$A$6)+1))))))</f>
        <v/>
      </c>
      <c r="H8" s="17" t="str">
        <f aca="false">IF(SUMPRODUCT(('Regular Clients'!$C$6:$C$30=H$5)*('Regular Clients'!$B$6:$B$30=$B$3)*('Regular Clients'!$D$6:$D$30&lt;=$A8)*('Regular Clients'!$E$6:$E$30&gt;$A8)*('Regular Clients'!$J$6:$J$30&lt;&gt;"Ended")*('Regular Clients'!$J$6:$J$30&lt;&gt;"Not started"))=0,"",IF(SUMPRODUCT(('Regular Clients'!$C$6:$C$30=H$5)*('Regular Clients'!$B$6:$B$30=$B$3)*('Regular Clients'!$D$6:$D$30&lt;=$A8)*('Regular Clients'!$E$6:$E$30&gt;$A8)*('Regular Clients'!$J$6:$J$30&lt;&gt;"Ended")*('Regular Clients'!$J$6:$J$30&lt;&gt;"Not started"))&gt;1,"CLASH",INDEX('Regular Clients'!$A$6:$A$30,SUMPRODUCT(MAX(('Regular Clients'!$C$6:$C$30=H$5)*('Regular Clients'!$B$6:$B$30=$B$3)*('Regular Clients'!$D$6:$D$30&lt;=$A8)*('Regular Clients'!$E$6:$E$30&gt;$A8)*('Regular Clients'!$J$6:$J$30&lt;&gt;"Ended")*('Regular Clients'!$J$6:$J$30&lt;&gt;"Not started")*(ROW('Regular Clients'!$A$6:$A$30)-ROW('Regular Clients'!$A$6)+1))))))</f>
        <v/>
      </c>
    </row>
    <row r="9" customFormat="false" ht="18" hidden="false" customHeight="true" outlineLevel="0" collapsed="false">
      <c r="A9" s="16" t="n">
        <v>0.416666666666667</v>
      </c>
      <c r="B9" s="17" t="str">
        <f aca="false">IF(SUMPRODUCT(('Regular Clients'!$C$6:$C$30=B$5)*('Regular Clients'!$B$6:$B$30=$B$3)*('Regular Clients'!$D$6:$D$30&lt;=$A9)*('Regular Clients'!$E$6:$E$30&gt;$A9)*('Regular Clients'!$J$6:$J$30&lt;&gt;"Ended")*('Regular Clients'!$J$6:$J$30&lt;&gt;"Not started"))=0,"",IF(SUMPRODUCT(('Regular Clients'!$C$6:$C$30=B$5)*('Regular Clients'!$B$6:$B$30=$B$3)*('Regular Clients'!$D$6:$D$30&lt;=$A9)*('Regular Clients'!$E$6:$E$30&gt;$A9)*('Regular Clients'!$J$6:$J$30&lt;&gt;"Ended")*('Regular Clients'!$J$6:$J$30&lt;&gt;"Not started"))&gt;1,"CLASH",INDEX('Regular Clients'!$A$6:$A$30,SUMPRODUCT(MAX(('Regular Clients'!$C$6:$C$30=B$5)*('Regular Clients'!$B$6:$B$30=$B$3)*('Regular Clients'!$D$6:$D$30&lt;=$A9)*('Regular Clients'!$E$6:$E$30&gt;$A9)*('Regular Clients'!$J$6:$J$30&lt;&gt;"Ended")*('Regular Clients'!$J$6:$J$30&lt;&gt;"Not started")*(ROW('Regular Clients'!$A$6:$A$30)-ROW('Regular Clients'!$A$6)+1))))))</f>
        <v/>
      </c>
      <c r="C9" s="17" t="str">
        <f aca="false">IF(SUMPRODUCT(('Regular Clients'!$C$6:$C$30=C$5)*('Regular Clients'!$B$6:$B$30=$B$3)*('Regular Clients'!$D$6:$D$30&lt;=$A9)*('Regular Clients'!$E$6:$E$30&gt;$A9)*('Regular Clients'!$J$6:$J$30&lt;&gt;"Ended")*('Regular Clients'!$J$6:$J$30&lt;&gt;"Not started"))=0,"",IF(SUMPRODUCT(('Regular Clients'!$C$6:$C$30=C$5)*('Regular Clients'!$B$6:$B$30=$B$3)*('Regular Clients'!$D$6:$D$30&lt;=$A9)*('Regular Clients'!$E$6:$E$30&gt;$A9)*('Regular Clients'!$J$6:$J$30&lt;&gt;"Ended")*('Regular Clients'!$J$6:$J$30&lt;&gt;"Not started"))&gt;1,"CLASH",INDEX('Regular Clients'!$A$6:$A$30,SUMPRODUCT(MAX(('Regular Clients'!$C$6:$C$30=C$5)*('Regular Clients'!$B$6:$B$30=$B$3)*('Regular Clients'!$D$6:$D$30&lt;=$A9)*('Regular Clients'!$E$6:$E$30&gt;$A9)*('Regular Clients'!$J$6:$J$30&lt;&gt;"Ended")*('Regular Clients'!$J$6:$J$30&lt;&gt;"Not started")*(ROW('Regular Clients'!$A$6:$A$30)-ROW('Regular Clients'!$A$6)+1))))))</f>
        <v/>
      </c>
      <c r="D9" s="17" t="str">
        <f aca="false">IF(SUMPRODUCT(('Regular Clients'!$C$6:$C$30=D$5)*('Regular Clients'!$B$6:$B$30=$B$3)*('Regular Clients'!$D$6:$D$30&lt;=$A9)*('Regular Clients'!$E$6:$E$30&gt;$A9)*('Regular Clients'!$J$6:$J$30&lt;&gt;"Ended")*('Regular Clients'!$J$6:$J$30&lt;&gt;"Not started"))=0,"",IF(SUMPRODUCT(('Regular Clients'!$C$6:$C$30=D$5)*('Regular Clients'!$B$6:$B$30=$B$3)*('Regular Clients'!$D$6:$D$30&lt;=$A9)*('Regular Clients'!$E$6:$E$30&gt;$A9)*('Regular Clients'!$J$6:$J$30&lt;&gt;"Ended")*('Regular Clients'!$J$6:$J$30&lt;&gt;"Not started"))&gt;1,"CLASH",INDEX('Regular Clients'!$A$6:$A$30,SUMPRODUCT(MAX(('Regular Clients'!$C$6:$C$30=D$5)*('Regular Clients'!$B$6:$B$30=$B$3)*('Regular Clients'!$D$6:$D$30&lt;=$A9)*('Regular Clients'!$E$6:$E$30&gt;$A9)*('Regular Clients'!$J$6:$J$30&lt;&gt;"Ended")*('Regular Clients'!$J$6:$J$30&lt;&gt;"Not started")*(ROW('Regular Clients'!$A$6:$A$30)-ROW('Regular Clients'!$A$6)+1))))))</f>
        <v/>
      </c>
      <c r="E9" s="17" t="str">
        <f aca="false">IF(SUMPRODUCT(('Regular Clients'!$C$6:$C$30=E$5)*('Regular Clients'!$B$6:$B$30=$B$3)*('Regular Clients'!$D$6:$D$30&lt;=$A9)*('Regular Clients'!$E$6:$E$30&gt;$A9)*('Regular Clients'!$J$6:$J$30&lt;&gt;"Ended")*('Regular Clients'!$J$6:$J$30&lt;&gt;"Not started"))=0,"",IF(SUMPRODUCT(('Regular Clients'!$C$6:$C$30=E$5)*('Regular Clients'!$B$6:$B$30=$B$3)*('Regular Clients'!$D$6:$D$30&lt;=$A9)*('Regular Clients'!$E$6:$E$30&gt;$A9)*('Regular Clients'!$J$6:$J$30&lt;&gt;"Ended")*('Regular Clients'!$J$6:$J$30&lt;&gt;"Not started"))&gt;1,"CLASH",INDEX('Regular Clients'!$A$6:$A$30,SUMPRODUCT(MAX(('Regular Clients'!$C$6:$C$30=E$5)*('Regular Clients'!$B$6:$B$30=$B$3)*('Regular Clients'!$D$6:$D$30&lt;=$A9)*('Regular Clients'!$E$6:$E$30&gt;$A9)*('Regular Clients'!$J$6:$J$30&lt;&gt;"Ended")*('Regular Clients'!$J$6:$J$30&lt;&gt;"Not started")*(ROW('Regular Clients'!$A$6:$A$30)-ROW('Regular Clients'!$A$6)+1))))))</f>
        <v/>
      </c>
      <c r="F9" s="17" t="str">
        <f aca="false">IF(SUMPRODUCT(('Regular Clients'!$C$6:$C$30=F$5)*('Regular Clients'!$B$6:$B$30=$B$3)*('Regular Clients'!$D$6:$D$30&lt;=$A9)*('Regular Clients'!$E$6:$E$30&gt;$A9)*('Regular Clients'!$J$6:$J$30&lt;&gt;"Ended")*('Regular Clients'!$J$6:$J$30&lt;&gt;"Not started"))=0,"",IF(SUMPRODUCT(('Regular Clients'!$C$6:$C$30=F$5)*('Regular Clients'!$B$6:$B$30=$B$3)*('Regular Clients'!$D$6:$D$30&lt;=$A9)*('Regular Clients'!$E$6:$E$30&gt;$A9)*('Regular Clients'!$J$6:$J$30&lt;&gt;"Ended")*('Regular Clients'!$J$6:$J$30&lt;&gt;"Not started"))&gt;1,"CLASH",INDEX('Regular Clients'!$A$6:$A$30,SUMPRODUCT(MAX(('Regular Clients'!$C$6:$C$30=F$5)*('Regular Clients'!$B$6:$B$30=$B$3)*('Regular Clients'!$D$6:$D$30&lt;=$A9)*('Regular Clients'!$E$6:$E$30&gt;$A9)*('Regular Clients'!$J$6:$J$30&lt;&gt;"Ended")*('Regular Clients'!$J$6:$J$30&lt;&gt;"Not started")*(ROW('Regular Clients'!$A$6:$A$30)-ROW('Regular Clients'!$A$6)+1))))))</f>
        <v/>
      </c>
      <c r="G9" s="17" t="str">
        <f aca="false">IF(SUMPRODUCT(('Regular Clients'!$C$6:$C$30=G$5)*('Regular Clients'!$B$6:$B$30=$B$3)*('Regular Clients'!$D$6:$D$30&lt;=$A9)*('Regular Clients'!$E$6:$E$30&gt;$A9)*('Regular Clients'!$J$6:$J$30&lt;&gt;"Ended")*('Regular Clients'!$J$6:$J$30&lt;&gt;"Not started"))=0,"",IF(SUMPRODUCT(('Regular Clients'!$C$6:$C$30=G$5)*('Regular Clients'!$B$6:$B$30=$B$3)*('Regular Clients'!$D$6:$D$30&lt;=$A9)*('Regular Clients'!$E$6:$E$30&gt;$A9)*('Regular Clients'!$J$6:$J$30&lt;&gt;"Ended")*('Regular Clients'!$J$6:$J$30&lt;&gt;"Not started"))&gt;1,"CLASH",INDEX('Regular Clients'!$A$6:$A$30,SUMPRODUCT(MAX(('Regular Clients'!$C$6:$C$30=G$5)*('Regular Clients'!$B$6:$B$30=$B$3)*('Regular Clients'!$D$6:$D$30&lt;=$A9)*('Regular Clients'!$E$6:$E$30&gt;$A9)*('Regular Clients'!$J$6:$J$30&lt;&gt;"Ended")*('Regular Clients'!$J$6:$J$30&lt;&gt;"Not started")*(ROW('Regular Clients'!$A$6:$A$30)-ROW('Regular Clients'!$A$6)+1))))))</f>
        <v/>
      </c>
      <c r="H9" s="17" t="str">
        <f aca="false">IF(SUMPRODUCT(('Regular Clients'!$C$6:$C$30=H$5)*('Regular Clients'!$B$6:$B$30=$B$3)*('Regular Clients'!$D$6:$D$30&lt;=$A9)*('Regular Clients'!$E$6:$E$30&gt;$A9)*('Regular Clients'!$J$6:$J$30&lt;&gt;"Ended")*('Regular Clients'!$J$6:$J$30&lt;&gt;"Not started"))=0,"",IF(SUMPRODUCT(('Regular Clients'!$C$6:$C$30=H$5)*('Regular Clients'!$B$6:$B$30=$B$3)*('Regular Clients'!$D$6:$D$30&lt;=$A9)*('Regular Clients'!$E$6:$E$30&gt;$A9)*('Regular Clients'!$J$6:$J$30&lt;&gt;"Ended")*('Regular Clients'!$J$6:$J$30&lt;&gt;"Not started"))&gt;1,"CLASH",INDEX('Regular Clients'!$A$6:$A$30,SUMPRODUCT(MAX(('Regular Clients'!$C$6:$C$30=H$5)*('Regular Clients'!$B$6:$B$30=$B$3)*('Regular Clients'!$D$6:$D$30&lt;=$A9)*('Regular Clients'!$E$6:$E$30&gt;$A9)*('Regular Clients'!$J$6:$J$30&lt;&gt;"Ended")*('Regular Clients'!$J$6:$J$30&lt;&gt;"Not started")*(ROW('Regular Clients'!$A$6:$A$30)-ROW('Regular Clients'!$A$6)+1))))))</f>
        <v/>
      </c>
    </row>
    <row r="10" customFormat="false" ht="18" hidden="false" customHeight="true" outlineLevel="0" collapsed="false">
      <c r="A10" s="16" t="n">
        <v>0.458333333333333</v>
      </c>
      <c r="B10" s="17" t="str">
        <f aca="false">IF(SUMPRODUCT(('Regular Clients'!$C$6:$C$30=B$5)*('Regular Clients'!$B$6:$B$30=$B$3)*('Regular Clients'!$D$6:$D$30&lt;=$A10)*('Regular Clients'!$E$6:$E$30&gt;$A10)*('Regular Clients'!$J$6:$J$30&lt;&gt;"Ended")*('Regular Clients'!$J$6:$J$30&lt;&gt;"Not started"))=0,"",IF(SUMPRODUCT(('Regular Clients'!$C$6:$C$30=B$5)*('Regular Clients'!$B$6:$B$30=$B$3)*('Regular Clients'!$D$6:$D$30&lt;=$A10)*('Regular Clients'!$E$6:$E$30&gt;$A10)*('Regular Clients'!$J$6:$J$30&lt;&gt;"Ended")*('Regular Clients'!$J$6:$J$30&lt;&gt;"Not started"))&gt;1,"CLASH",INDEX('Regular Clients'!$A$6:$A$30,SUMPRODUCT(MAX(('Regular Clients'!$C$6:$C$30=B$5)*('Regular Clients'!$B$6:$B$30=$B$3)*('Regular Clients'!$D$6:$D$30&lt;=$A10)*('Regular Clients'!$E$6:$E$30&gt;$A10)*('Regular Clients'!$J$6:$J$30&lt;&gt;"Ended")*('Regular Clients'!$J$6:$J$30&lt;&gt;"Not started")*(ROW('Regular Clients'!$A$6:$A$30)-ROW('Regular Clients'!$A$6)+1))))))</f>
        <v/>
      </c>
      <c r="C10" s="17" t="str">
        <f aca="false">IF(SUMPRODUCT(('Regular Clients'!$C$6:$C$30=C$5)*('Regular Clients'!$B$6:$B$30=$B$3)*('Regular Clients'!$D$6:$D$30&lt;=$A10)*('Regular Clients'!$E$6:$E$30&gt;$A10)*('Regular Clients'!$J$6:$J$30&lt;&gt;"Ended")*('Regular Clients'!$J$6:$J$30&lt;&gt;"Not started"))=0,"",IF(SUMPRODUCT(('Regular Clients'!$C$6:$C$30=C$5)*('Regular Clients'!$B$6:$B$30=$B$3)*('Regular Clients'!$D$6:$D$30&lt;=$A10)*('Regular Clients'!$E$6:$E$30&gt;$A10)*('Regular Clients'!$J$6:$J$30&lt;&gt;"Ended")*('Regular Clients'!$J$6:$J$30&lt;&gt;"Not started"))&gt;1,"CLASH",INDEX('Regular Clients'!$A$6:$A$30,SUMPRODUCT(MAX(('Regular Clients'!$C$6:$C$30=C$5)*('Regular Clients'!$B$6:$B$30=$B$3)*('Regular Clients'!$D$6:$D$30&lt;=$A10)*('Regular Clients'!$E$6:$E$30&gt;$A10)*('Regular Clients'!$J$6:$J$30&lt;&gt;"Ended")*('Regular Clients'!$J$6:$J$30&lt;&gt;"Not started")*(ROW('Regular Clients'!$A$6:$A$30)-ROW('Regular Clients'!$A$6)+1))))))</f>
        <v/>
      </c>
      <c r="D10" s="17" t="str">
        <f aca="false">IF(SUMPRODUCT(('Regular Clients'!$C$6:$C$30=D$5)*('Regular Clients'!$B$6:$B$30=$B$3)*('Regular Clients'!$D$6:$D$30&lt;=$A10)*('Regular Clients'!$E$6:$E$30&gt;$A10)*('Regular Clients'!$J$6:$J$30&lt;&gt;"Ended")*('Regular Clients'!$J$6:$J$30&lt;&gt;"Not started"))=0,"",IF(SUMPRODUCT(('Regular Clients'!$C$6:$C$30=D$5)*('Regular Clients'!$B$6:$B$30=$B$3)*('Regular Clients'!$D$6:$D$30&lt;=$A10)*('Regular Clients'!$E$6:$E$30&gt;$A10)*('Regular Clients'!$J$6:$J$30&lt;&gt;"Ended")*('Regular Clients'!$J$6:$J$30&lt;&gt;"Not started"))&gt;1,"CLASH",INDEX('Regular Clients'!$A$6:$A$30,SUMPRODUCT(MAX(('Regular Clients'!$C$6:$C$30=D$5)*('Regular Clients'!$B$6:$B$30=$B$3)*('Regular Clients'!$D$6:$D$30&lt;=$A10)*('Regular Clients'!$E$6:$E$30&gt;$A10)*('Regular Clients'!$J$6:$J$30&lt;&gt;"Ended")*('Regular Clients'!$J$6:$J$30&lt;&gt;"Not started")*(ROW('Regular Clients'!$A$6:$A$30)-ROW('Regular Clients'!$A$6)+1))))))</f>
        <v/>
      </c>
      <c r="E10" s="17" t="str">
        <f aca="false">IF(SUMPRODUCT(('Regular Clients'!$C$6:$C$30=E$5)*('Regular Clients'!$B$6:$B$30=$B$3)*('Regular Clients'!$D$6:$D$30&lt;=$A10)*('Regular Clients'!$E$6:$E$30&gt;$A10)*('Regular Clients'!$J$6:$J$30&lt;&gt;"Ended")*('Regular Clients'!$J$6:$J$30&lt;&gt;"Not started"))=0,"",IF(SUMPRODUCT(('Regular Clients'!$C$6:$C$30=E$5)*('Regular Clients'!$B$6:$B$30=$B$3)*('Regular Clients'!$D$6:$D$30&lt;=$A10)*('Regular Clients'!$E$6:$E$30&gt;$A10)*('Regular Clients'!$J$6:$J$30&lt;&gt;"Ended")*('Regular Clients'!$J$6:$J$30&lt;&gt;"Not started"))&gt;1,"CLASH",INDEX('Regular Clients'!$A$6:$A$30,SUMPRODUCT(MAX(('Regular Clients'!$C$6:$C$30=E$5)*('Regular Clients'!$B$6:$B$30=$B$3)*('Regular Clients'!$D$6:$D$30&lt;=$A10)*('Regular Clients'!$E$6:$E$30&gt;$A10)*('Regular Clients'!$J$6:$J$30&lt;&gt;"Ended")*('Regular Clients'!$J$6:$J$30&lt;&gt;"Not started")*(ROW('Regular Clients'!$A$6:$A$30)-ROW('Regular Clients'!$A$6)+1))))))</f>
        <v/>
      </c>
      <c r="F10" s="17" t="str">
        <f aca="false">IF(SUMPRODUCT(('Regular Clients'!$C$6:$C$30=F$5)*('Regular Clients'!$B$6:$B$30=$B$3)*('Regular Clients'!$D$6:$D$30&lt;=$A10)*('Regular Clients'!$E$6:$E$30&gt;$A10)*('Regular Clients'!$J$6:$J$30&lt;&gt;"Ended")*('Regular Clients'!$J$6:$J$30&lt;&gt;"Not started"))=0,"",IF(SUMPRODUCT(('Regular Clients'!$C$6:$C$30=F$5)*('Regular Clients'!$B$6:$B$30=$B$3)*('Regular Clients'!$D$6:$D$30&lt;=$A10)*('Regular Clients'!$E$6:$E$30&gt;$A10)*('Regular Clients'!$J$6:$J$30&lt;&gt;"Ended")*('Regular Clients'!$J$6:$J$30&lt;&gt;"Not started"))&gt;1,"CLASH",INDEX('Regular Clients'!$A$6:$A$30,SUMPRODUCT(MAX(('Regular Clients'!$C$6:$C$30=F$5)*('Regular Clients'!$B$6:$B$30=$B$3)*('Regular Clients'!$D$6:$D$30&lt;=$A10)*('Regular Clients'!$E$6:$E$30&gt;$A10)*('Regular Clients'!$J$6:$J$30&lt;&gt;"Ended")*('Regular Clients'!$J$6:$J$30&lt;&gt;"Not started")*(ROW('Regular Clients'!$A$6:$A$30)-ROW('Regular Clients'!$A$6)+1))))))</f>
        <v/>
      </c>
      <c r="G10" s="17" t="str">
        <f aca="false">IF(SUMPRODUCT(('Regular Clients'!$C$6:$C$30=G$5)*('Regular Clients'!$B$6:$B$30=$B$3)*('Regular Clients'!$D$6:$D$30&lt;=$A10)*('Regular Clients'!$E$6:$E$30&gt;$A10)*('Regular Clients'!$J$6:$J$30&lt;&gt;"Ended")*('Regular Clients'!$J$6:$J$30&lt;&gt;"Not started"))=0,"",IF(SUMPRODUCT(('Regular Clients'!$C$6:$C$30=G$5)*('Regular Clients'!$B$6:$B$30=$B$3)*('Regular Clients'!$D$6:$D$30&lt;=$A10)*('Regular Clients'!$E$6:$E$30&gt;$A10)*('Regular Clients'!$J$6:$J$30&lt;&gt;"Ended")*('Regular Clients'!$J$6:$J$30&lt;&gt;"Not started"))&gt;1,"CLASH",INDEX('Regular Clients'!$A$6:$A$30,SUMPRODUCT(MAX(('Regular Clients'!$C$6:$C$30=G$5)*('Regular Clients'!$B$6:$B$30=$B$3)*('Regular Clients'!$D$6:$D$30&lt;=$A10)*('Regular Clients'!$E$6:$E$30&gt;$A10)*('Regular Clients'!$J$6:$J$30&lt;&gt;"Ended")*('Regular Clients'!$J$6:$J$30&lt;&gt;"Not started")*(ROW('Regular Clients'!$A$6:$A$30)-ROW('Regular Clients'!$A$6)+1))))))</f>
        <v/>
      </c>
      <c r="H10" s="17" t="str">
        <f aca="false">IF(SUMPRODUCT(('Regular Clients'!$C$6:$C$30=H$5)*('Regular Clients'!$B$6:$B$30=$B$3)*('Regular Clients'!$D$6:$D$30&lt;=$A10)*('Regular Clients'!$E$6:$E$30&gt;$A10)*('Regular Clients'!$J$6:$J$30&lt;&gt;"Ended")*('Regular Clients'!$J$6:$J$30&lt;&gt;"Not started"))=0,"",IF(SUMPRODUCT(('Regular Clients'!$C$6:$C$30=H$5)*('Regular Clients'!$B$6:$B$30=$B$3)*('Regular Clients'!$D$6:$D$30&lt;=$A10)*('Regular Clients'!$E$6:$E$30&gt;$A10)*('Regular Clients'!$J$6:$J$30&lt;&gt;"Ended")*('Regular Clients'!$J$6:$J$30&lt;&gt;"Not started"))&gt;1,"CLASH",INDEX('Regular Clients'!$A$6:$A$30,SUMPRODUCT(MAX(('Regular Clients'!$C$6:$C$30=H$5)*('Regular Clients'!$B$6:$B$30=$B$3)*('Regular Clients'!$D$6:$D$30&lt;=$A10)*('Regular Clients'!$E$6:$E$30&gt;$A10)*('Regular Clients'!$J$6:$J$30&lt;&gt;"Ended")*('Regular Clients'!$J$6:$J$30&lt;&gt;"Not started")*(ROW('Regular Clients'!$A$6:$A$30)-ROW('Regular Clients'!$A$6)+1))))))</f>
        <v/>
      </c>
    </row>
    <row r="11" customFormat="false" ht="18" hidden="false" customHeight="true" outlineLevel="0" collapsed="false">
      <c r="A11" s="16" t="n">
        <v>0.5</v>
      </c>
      <c r="B11" s="17" t="str">
        <f aca="false">IF(SUMPRODUCT(('Regular Clients'!$C$6:$C$30=B$5)*('Regular Clients'!$B$6:$B$30=$B$3)*('Regular Clients'!$D$6:$D$30&lt;=$A11)*('Regular Clients'!$E$6:$E$30&gt;$A11)*('Regular Clients'!$J$6:$J$30&lt;&gt;"Ended")*('Regular Clients'!$J$6:$J$30&lt;&gt;"Not started"))=0,"",IF(SUMPRODUCT(('Regular Clients'!$C$6:$C$30=B$5)*('Regular Clients'!$B$6:$B$30=$B$3)*('Regular Clients'!$D$6:$D$30&lt;=$A11)*('Regular Clients'!$E$6:$E$30&gt;$A11)*('Regular Clients'!$J$6:$J$30&lt;&gt;"Ended")*('Regular Clients'!$J$6:$J$30&lt;&gt;"Not started"))&gt;1,"CLASH",INDEX('Regular Clients'!$A$6:$A$30,SUMPRODUCT(MAX(('Regular Clients'!$C$6:$C$30=B$5)*('Regular Clients'!$B$6:$B$30=$B$3)*('Regular Clients'!$D$6:$D$30&lt;=$A11)*('Regular Clients'!$E$6:$E$30&gt;$A11)*('Regular Clients'!$J$6:$J$30&lt;&gt;"Ended")*('Regular Clients'!$J$6:$J$30&lt;&gt;"Not started")*(ROW('Regular Clients'!$A$6:$A$30)-ROW('Regular Clients'!$A$6)+1))))))</f>
        <v/>
      </c>
      <c r="C11" s="17" t="str">
        <f aca="false">IF(SUMPRODUCT(('Regular Clients'!$C$6:$C$30=C$5)*('Regular Clients'!$B$6:$B$30=$B$3)*('Regular Clients'!$D$6:$D$30&lt;=$A11)*('Regular Clients'!$E$6:$E$30&gt;$A11)*('Regular Clients'!$J$6:$J$30&lt;&gt;"Ended")*('Regular Clients'!$J$6:$J$30&lt;&gt;"Not started"))=0,"",IF(SUMPRODUCT(('Regular Clients'!$C$6:$C$30=C$5)*('Regular Clients'!$B$6:$B$30=$B$3)*('Regular Clients'!$D$6:$D$30&lt;=$A11)*('Regular Clients'!$E$6:$E$30&gt;$A11)*('Regular Clients'!$J$6:$J$30&lt;&gt;"Ended")*('Regular Clients'!$J$6:$J$30&lt;&gt;"Not started"))&gt;1,"CLASH",INDEX('Regular Clients'!$A$6:$A$30,SUMPRODUCT(MAX(('Regular Clients'!$C$6:$C$30=C$5)*('Regular Clients'!$B$6:$B$30=$B$3)*('Regular Clients'!$D$6:$D$30&lt;=$A11)*('Regular Clients'!$E$6:$E$30&gt;$A11)*('Regular Clients'!$J$6:$J$30&lt;&gt;"Ended")*('Regular Clients'!$J$6:$J$30&lt;&gt;"Not started")*(ROW('Regular Clients'!$A$6:$A$30)-ROW('Regular Clients'!$A$6)+1))))))</f>
        <v/>
      </c>
      <c r="D11" s="17" t="str">
        <f aca="false">IF(SUMPRODUCT(('Regular Clients'!$C$6:$C$30=D$5)*('Regular Clients'!$B$6:$B$30=$B$3)*('Regular Clients'!$D$6:$D$30&lt;=$A11)*('Regular Clients'!$E$6:$E$30&gt;$A11)*('Regular Clients'!$J$6:$J$30&lt;&gt;"Ended")*('Regular Clients'!$J$6:$J$30&lt;&gt;"Not started"))=0,"",IF(SUMPRODUCT(('Regular Clients'!$C$6:$C$30=D$5)*('Regular Clients'!$B$6:$B$30=$B$3)*('Regular Clients'!$D$6:$D$30&lt;=$A11)*('Regular Clients'!$E$6:$E$30&gt;$A11)*('Regular Clients'!$J$6:$J$30&lt;&gt;"Ended")*('Regular Clients'!$J$6:$J$30&lt;&gt;"Not started"))&gt;1,"CLASH",INDEX('Regular Clients'!$A$6:$A$30,SUMPRODUCT(MAX(('Regular Clients'!$C$6:$C$30=D$5)*('Regular Clients'!$B$6:$B$30=$B$3)*('Regular Clients'!$D$6:$D$30&lt;=$A11)*('Regular Clients'!$E$6:$E$30&gt;$A11)*('Regular Clients'!$J$6:$J$30&lt;&gt;"Ended")*('Regular Clients'!$J$6:$J$30&lt;&gt;"Not started")*(ROW('Regular Clients'!$A$6:$A$30)-ROW('Regular Clients'!$A$6)+1))))))</f>
        <v/>
      </c>
      <c r="E11" s="17" t="str">
        <f aca="false">IF(SUMPRODUCT(('Regular Clients'!$C$6:$C$30=E$5)*('Regular Clients'!$B$6:$B$30=$B$3)*('Regular Clients'!$D$6:$D$30&lt;=$A11)*('Regular Clients'!$E$6:$E$30&gt;$A11)*('Regular Clients'!$J$6:$J$30&lt;&gt;"Ended")*('Regular Clients'!$J$6:$J$30&lt;&gt;"Not started"))=0,"",IF(SUMPRODUCT(('Regular Clients'!$C$6:$C$30=E$5)*('Regular Clients'!$B$6:$B$30=$B$3)*('Regular Clients'!$D$6:$D$30&lt;=$A11)*('Regular Clients'!$E$6:$E$30&gt;$A11)*('Regular Clients'!$J$6:$J$30&lt;&gt;"Ended")*('Regular Clients'!$J$6:$J$30&lt;&gt;"Not started"))&gt;1,"CLASH",INDEX('Regular Clients'!$A$6:$A$30,SUMPRODUCT(MAX(('Regular Clients'!$C$6:$C$30=E$5)*('Regular Clients'!$B$6:$B$30=$B$3)*('Regular Clients'!$D$6:$D$30&lt;=$A11)*('Regular Clients'!$E$6:$E$30&gt;$A11)*('Regular Clients'!$J$6:$J$30&lt;&gt;"Ended")*('Regular Clients'!$J$6:$J$30&lt;&gt;"Not started")*(ROW('Regular Clients'!$A$6:$A$30)-ROW('Regular Clients'!$A$6)+1))))))</f>
        <v/>
      </c>
      <c r="F11" s="17" t="str">
        <f aca="false">IF(SUMPRODUCT(('Regular Clients'!$C$6:$C$30=F$5)*('Regular Clients'!$B$6:$B$30=$B$3)*('Regular Clients'!$D$6:$D$30&lt;=$A11)*('Regular Clients'!$E$6:$E$30&gt;$A11)*('Regular Clients'!$J$6:$J$30&lt;&gt;"Ended")*('Regular Clients'!$J$6:$J$30&lt;&gt;"Not started"))=0,"",IF(SUMPRODUCT(('Regular Clients'!$C$6:$C$30=F$5)*('Regular Clients'!$B$6:$B$30=$B$3)*('Regular Clients'!$D$6:$D$30&lt;=$A11)*('Regular Clients'!$E$6:$E$30&gt;$A11)*('Regular Clients'!$J$6:$J$30&lt;&gt;"Ended")*('Regular Clients'!$J$6:$J$30&lt;&gt;"Not started"))&gt;1,"CLASH",INDEX('Regular Clients'!$A$6:$A$30,SUMPRODUCT(MAX(('Regular Clients'!$C$6:$C$30=F$5)*('Regular Clients'!$B$6:$B$30=$B$3)*('Regular Clients'!$D$6:$D$30&lt;=$A11)*('Regular Clients'!$E$6:$E$30&gt;$A11)*('Regular Clients'!$J$6:$J$30&lt;&gt;"Ended")*('Regular Clients'!$J$6:$J$30&lt;&gt;"Not started")*(ROW('Regular Clients'!$A$6:$A$30)-ROW('Regular Clients'!$A$6)+1))))))</f>
        <v/>
      </c>
      <c r="G11" s="17" t="str">
        <f aca="false">IF(SUMPRODUCT(('Regular Clients'!$C$6:$C$30=G$5)*('Regular Clients'!$B$6:$B$30=$B$3)*('Regular Clients'!$D$6:$D$30&lt;=$A11)*('Regular Clients'!$E$6:$E$30&gt;$A11)*('Regular Clients'!$J$6:$J$30&lt;&gt;"Ended")*('Regular Clients'!$J$6:$J$30&lt;&gt;"Not started"))=0,"",IF(SUMPRODUCT(('Regular Clients'!$C$6:$C$30=G$5)*('Regular Clients'!$B$6:$B$30=$B$3)*('Regular Clients'!$D$6:$D$30&lt;=$A11)*('Regular Clients'!$E$6:$E$30&gt;$A11)*('Regular Clients'!$J$6:$J$30&lt;&gt;"Ended")*('Regular Clients'!$J$6:$J$30&lt;&gt;"Not started"))&gt;1,"CLASH",INDEX('Regular Clients'!$A$6:$A$30,SUMPRODUCT(MAX(('Regular Clients'!$C$6:$C$30=G$5)*('Regular Clients'!$B$6:$B$30=$B$3)*('Regular Clients'!$D$6:$D$30&lt;=$A11)*('Regular Clients'!$E$6:$E$30&gt;$A11)*('Regular Clients'!$J$6:$J$30&lt;&gt;"Ended")*('Regular Clients'!$J$6:$J$30&lt;&gt;"Not started")*(ROW('Regular Clients'!$A$6:$A$30)-ROW('Regular Clients'!$A$6)+1))))))</f>
        <v/>
      </c>
      <c r="H11" s="17" t="str">
        <f aca="false">IF(SUMPRODUCT(('Regular Clients'!$C$6:$C$30=H$5)*('Regular Clients'!$B$6:$B$30=$B$3)*('Regular Clients'!$D$6:$D$30&lt;=$A11)*('Regular Clients'!$E$6:$E$30&gt;$A11)*('Regular Clients'!$J$6:$J$30&lt;&gt;"Ended")*('Regular Clients'!$J$6:$J$30&lt;&gt;"Not started"))=0,"",IF(SUMPRODUCT(('Regular Clients'!$C$6:$C$30=H$5)*('Regular Clients'!$B$6:$B$30=$B$3)*('Regular Clients'!$D$6:$D$30&lt;=$A11)*('Regular Clients'!$E$6:$E$30&gt;$A11)*('Regular Clients'!$J$6:$J$30&lt;&gt;"Ended")*('Regular Clients'!$J$6:$J$30&lt;&gt;"Not started"))&gt;1,"CLASH",INDEX('Regular Clients'!$A$6:$A$30,SUMPRODUCT(MAX(('Regular Clients'!$C$6:$C$30=H$5)*('Regular Clients'!$B$6:$B$30=$B$3)*('Regular Clients'!$D$6:$D$30&lt;=$A11)*('Regular Clients'!$E$6:$E$30&gt;$A11)*('Regular Clients'!$J$6:$J$30&lt;&gt;"Ended")*('Regular Clients'!$J$6:$J$30&lt;&gt;"Not started")*(ROW('Regular Clients'!$A$6:$A$30)-ROW('Regular Clients'!$A$6)+1))))))</f>
        <v/>
      </c>
    </row>
    <row r="12" customFormat="false" ht="18" hidden="false" customHeight="true" outlineLevel="0" collapsed="false">
      <c r="A12" s="16" t="n">
        <v>0.541666666666667</v>
      </c>
      <c r="B12" s="17" t="str">
        <f aca="false">IF(SUMPRODUCT(('Regular Clients'!$C$6:$C$30=B$5)*('Regular Clients'!$B$6:$B$30=$B$3)*('Regular Clients'!$D$6:$D$30&lt;=$A12)*('Regular Clients'!$E$6:$E$30&gt;$A12)*('Regular Clients'!$J$6:$J$30&lt;&gt;"Ended")*('Regular Clients'!$J$6:$J$30&lt;&gt;"Not started"))=0,"",IF(SUMPRODUCT(('Regular Clients'!$C$6:$C$30=B$5)*('Regular Clients'!$B$6:$B$30=$B$3)*('Regular Clients'!$D$6:$D$30&lt;=$A12)*('Regular Clients'!$E$6:$E$30&gt;$A12)*('Regular Clients'!$J$6:$J$30&lt;&gt;"Ended")*('Regular Clients'!$J$6:$J$30&lt;&gt;"Not started"))&gt;1,"CLASH",INDEX('Regular Clients'!$A$6:$A$30,SUMPRODUCT(MAX(('Regular Clients'!$C$6:$C$30=B$5)*('Regular Clients'!$B$6:$B$30=$B$3)*('Regular Clients'!$D$6:$D$30&lt;=$A12)*('Regular Clients'!$E$6:$E$30&gt;$A12)*('Regular Clients'!$J$6:$J$30&lt;&gt;"Ended")*('Regular Clients'!$J$6:$J$30&lt;&gt;"Not started")*(ROW('Regular Clients'!$A$6:$A$30)-ROW('Regular Clients'!$A$6)+1))))))</f>
        <v/>
      </c>
      <c r="C12" s="17" t="str">
        <f aca="false">IF(SUMPRODUCT(('Regular Clients'!$C$6:$C$30=C$5)*('Regular Clients'!$B$6:$B$30=$B$3)*('Regular Clients'!$D$6:$D$30&lt;=$A12)*('Regular Clients'!$E$6:$E$30&gt;$A12)*('Regular Clients'!$J$6:$J$30&lt;&gt;"Ended")*('Regular Clients'!$J$6:$J$30&lt;&gt;"Not started"))=0,"",IF(SUMPRODUCT(('Regular Clients'!$C$6:$C$30=C$5)*('Regular Clients'!$B$6:$B$30=$B$3)*('Regular Clients'!$D$6:$D$30&lt;=$A12)*('Regular Clients'!$E$6:$E$30&gt;$A12)*('Regular Clients'!$J$6:$J$30&lt;&gt;"Ended")*('Regular Clients'!$J$6:$J$30&lt;&gt;"Not started"))&gt;1,"CLASH",INDEX('Regular Clients'!$A$6:$A$30,SUMPRODUCT(MAX(('Regular Clients'!$C$6:$C$30=C$5)*('Regular Clients'!$B$6:$B$30=$B$3)*('Regular Clients'!$D$6:$D$30&lt;=$A12)*('Regular Clients'!$E$6:$E$30&gt;$A12)*('Regular Clients'!$J$6:$J$30&lt;&gt;"Ended")*('Regular Clients'!$J$6:$J$30&lt;&gt;"Not started")*(ROW('Regular Clients'!$A$6:$A$30)-ROW('Regular Clients'!$A$6)+1))))))</f>
        <v/>
      </c>
      <c r="D12" s="17" t="str">
        <f aca="false">IF(SUMPRODUCT(('Regular Clients'!$C$6:$C$30=D$5)*('Regular Clients'!$B$6:$B$30=$B$3)*('Regular Clients'!$D$6:$D$30&lt;=$A12)*('Regular Clients'!$E$6:$E$30&gt;$A12)*('Regular Clients'!$J$6:$J$30&lt;&gt;"Ended")*('Regular Clients'!$J$6:$J$30&lt;&gt;"Not started"))=0,"",IF(SUMPRODUCT(('Regular Clients'!$C$6:$C$30=D$5)*('Regular Clients'!$B$6:$B$30=$B$3)*('Regular Clients'!$D$6:$D$30&lt;=$A12)*('Regular Clients'!$E$6:$E$30&gt;$A12)*('Regular Clients'!$J$6:$J$30&lt;&gt;"Ended")*('Regular Clients'!$J$6:$J$30&lt;&gt;"Not started"))&gt;1,"CLASH",INDEX('Regular Clients'!$A$6:$A$30,SUMPRODUCT(MAX(('Regular Clients'!$C$6:$C$30=D$5)*('Regular Clients'!$B$6:$B$30=$B$3)*('Regular Clients'!$D$6:$D$30&lt;=$A12)*('Regular Clients'!$E$6:$E$30&gt;$A12)*('Regular Clients'!$J$6:$J$30&lt;&gt;"Ended")*('Regular Clients'!$J$6:$J$30&lt;&gt;"Not started")*(ROW('Regular Clients'!$A$6:$A$30)-ROW('Regular Clients'!$A$6)+1))))))</f>
        <v/>
      </c>
      <c r="E12" s="17" t="str">
        <f aca="false">IF(SUMPRODUCT(('Regular Clients'!$C$6:$C$30=E$5)*('Regular Clients'!$B$6:$B$30=$B$3)*('Regular Clients'!$D$6:$D$30&lt;=$A12)*('Regular Clients'!$E$6:$E$30&gt;$A12)*('Regular Clients'!$J$6:$J$30&lt;&gt;"Ended")*('Regular Clients'!$J$6:$J$30&lt;&gt;"Not started"))=0,"",IF(SUMPRODUCT(('Regular Clients'!$C$6:$C$30=E$5)*('Regular Clients'!$B$6:$B$30=$B$3)*('Regular Clients'!$D$6:$D$30&lt;=$A12)*('Regular Clients'!$E$6:$E$30&gt;$A12)*('Regular Clients'!$J$6:$J$30&lt;&gt;"Ended")*('Regular Clients'!$J$6:$J$30&lt;&gt;"Not started"))&gt;1,"CLASH",INDEX('Regular Clients'!$A$6:$A$30,SUMPRODUCT(MAX(('Regular Clients'!$C$6:$C$30=E$5)*('Regular Clients'!$B$6:$B$30=$B$3)*('Regular Clients'!$D$6:$D$30&lt;=$A12)*('Regular Clients'!$E$6:$E$30&gt;$A12)*('Regular Clients'!$J$6:$J$30&lt;&gt;"Ended")*('Regular Clients'!$J$6:$J$30&lt;&gt;"Not started")*(ROW('Regular Clients'!$A$6:$A$30)-ROW('Regular Clients'!$A$6)+1))))))</f>
        <v/>
      </c>
      <c r="F12" s="17" t="str">
        <f aca="false">IF(SUMPRODUCT(('Regular Clients'!$C$6:$C$30=F$5)*('Regular Clients'!$B$6:$B$30=$B$3)*('Regular Clients'!$D$6:$D$30&lt;=$A12)*('Regular Clients'!$E$6:$E$30&gt;$A12)*('Regular Clients'!$J$6:$J$30&lt;&gt;"Ended")*('Regular Clients'!$J$6:$J$30&lt;&gt;"Not started"))=0,"",IF(SUMPRODUCT(('Regular Clients'!$C$6:$C$30=F$5)*('Regular Clients'!$B$6:$B$30=$B$3)*('Regular Clients'!$D$6:$D$30&lt;=$A12)*('Regular Clients'!$E$6:$E$30&gt;$A12)*('Regular Clients'!$J$6:$J$30&lt;&gt;"Ended")*('Regular Clients'!$J$6:$J$30&lt;&gt;"Not started"))&gt;1,"CLASH",INDEX('Regular Clients'!$A$6:$A$30,SUMPRODUCT(MAX(('Regular Clients'!$C$6:$C$30=F$5)*('Regular Clients'!$B$6:$B$30=$B$3)*('Regular Clients'!$D$6:$D$30&lt;=$A12)*('Regular Clients'!$E$6:$E$30&gt;$A12)*('Regular Clients'!$J$6:$J$30&lt;&gt;"Ended")*('Regular Clients'!$J$6:$J$30&lt;&gt;"Not started")*(ROW('Regular Clients'!$A$6:$A$30)-ROW('Regular Clients'!$A$6)+1))))))</f>
        <v/>
      </c>
      <c r="G12" s="17" t="str">
        <f aca="false">IF(SUMPRODUCT(('Regular Clients'!$C$6:$C$30=G$5)*('Regular Clients'!$B$6:$B$30=$B$3)*('Regular Clients'!$D$6:$D$30&lt;=$A12)*('Regular Clients'!$E$6:$E$30&gt;$A12)*('Regular Clients'!$J$6:$J$30&lt;&gt;"Ended")*('Regular Clients'!$J$6:$J$30&lt;&gt;"Not started"))=0,"",IF(SUMPRODUCT(('Regular Clients'!$C$6:$C$30=G$5)*('Regular Clients'!$B$6:$B$30=$B$3)*('Regular Clients'!$D$6:$D$30&lt;=$A12)*('Regular Clients'!$E$6:$E$30&gt;$A12)*('Regular Clients'!$J$6:$J$30&lt;&gt;"Ended")*('Regular Clients'!$J$6:$J$30&lt;&gt;"Not started"))&gt;1,"CLASH",INDEX('Regular Clients'!$A$6:$A$30,SUMPRODUCT(MAX(('Regular Clients'!$C$6:$C$30=G$5)*('Regular Clients'!$B$6:$B$30=$B$3)*('Regular Clients'!$D$6:$D$30&lt;=$A12)*('Regular Clients'!$E$6:$E$30&gt;$A12)*('Regular Clients'!$J$6:$J$30&lt;&gt;"Ended")*('Regular Clients'!$J$6:$J$30&lt;&gt;"Not started")*(ROW('Regular Clients'!$A$6:$A$30)-ROW('Regular Clients'!$A$6)+1))))))</f>
        <v/>
      </c>
      <c r="H12" s="17" t="str">
        <f aca="false">IF(SUMPRODUCT(('Regular Clients'!$C$6:$C$30=H$5)*('Regular Clients'!$B$6:$B$30=$B$3)*('Regular Clients'!$D$6:$D$30&lt;=$A12)*('Regular Clients'!$E$6:$E$30&gt;$A12)*('Regular Clients'!$J$6:$J$30&lt;&gt;"Ended")*('Regular Clients'!$J$6:$J$30&lt;&gt;"Not started"))=0,"",IF(SUMPRODUCT(('Regular Clients'!$C$6:$C$30=H$5)*('Regular Clients'!$B$6:$B$30=$B$3)*('Regular Clients'!$D$6:$D$30&lt;=$A12)*('Regular Clients'!$E$6:$E$30&gt;$A12)*('Regular Clients'!$J$6:$J$30&lt;&gt;"Ended")*('Regular Clients'!$J$6:$J$30&lt;&gt;"Not started"))&gt;1,"CLASH",INDEX('Regular Clients'!$A$6:$A$30,SUMPRODUCT(MAX(('Regular Clients'!$C$6:$C$30=H$5)*('Regular Clients'!$B$6:$B$30=$B$3)*('Regular Clients'!$D$6:$D$30&lt;=$A12)*('Regular Clients'!$E$6:$E$30&gt;$A12)*('Regular Clients'!$J$6:$J$30&lt;&gt;"Ended")*('Regular Clients'!$J$6:$J$30&lt;&gt;"Not started")*(ROW('Regular Clients'!$A$6:$A$30)-ROW('Regular Clients'!$A$6)+1))))))</f>
        <v/>
      </c>
    </row>
    <row r="13" customFormat="false" ht="18" hidden="false" customHeight="true" outlineLevel="0" collapsed="false">
      <c r="A13" s="16" t="n">
        <v>0.583333333333333</v>
      </c>
      <c r="B13" s="17" t="str">
        <f aca="false">IF(SUMPRODUCT(('Regular Clients'!$C$6:$C$30=B$5)*('Regular Clients'!$B$6:$B$30=$B$3)*('Regular Clients'!$D$6:$D$30&lt;=$A13)*('Regular Clients'!$E$6:$E$30&gt;$A13)*('Regular Clients'!$J$6:$J$30&lt;&gt;"Ended")*('Regular Clients'!$J$6:$J$30&lt;&gt;"Not started"))=0,"",IF(SUMPRODUCT(('Regular Clients'!$C$6:$C$30=B$5)*('Regular Clients'!$B$6:$B$30=$B$3)*('Regular Clients'!$D$6:$D$30&lt;=$A13)*('Regular Clients'!$E$6:$E$30&gt;$A13)*('Regular Clients'!$J$6:$J$30&lt;&gt;"Ended")*('Regular Clients'!$J$6:$J$30&lt;&gt;"Not started"))&gt;1,"CLASH",INDEX('Regular Clients'!$A$6:$A$30,SUMPRODUCT(MAX(('Regular Clients'!$C$6:$C$30=B$5)*('Regular Clients'!$B$6:$B$30=$B$3)*('Regular Clients'!$D$6:$D$30&lt;=$A13)*('Regular Clients'!$E$6:$E$30&gt;$A13)*('Regular Clients'!$J$6:$J$30&lt;&gt;"Ended")*('Regular Clients'!$J$6:$J$30&lt;&gt;"Not started")*(ROW('Regular Clients'!$A$6:$A$30)-ROW('Regular Clients'!$A$6)+1))))))</f>
        <v/>
      </c>
      <c r="C13" s="17" t="str">
        <f aca="false">IF(SUMPRODUCT(('Regular Clients'!$C$6:$C$30=C$5)*('Regular Clients'!$B$6:$B$30=$B$3)*('Regular Clients'!$D$6:$D$30&lt;=$A13)*('Regular Clients'!$E$6:$E$30&gt;$A13)*('Regular Clients'!$J$6:$J$30&lt;&gt;"Ended")*('Regular Clients'!$J$6:$J$30&lt;&gt;"Not started"))=0,"",IF(SUMPRODUCT(('Regular Clients'!$C$6:$C$30=C$5)*('Regular Clients'!$B$6:$B$30=$B$3)*('Regular Clients'!$D$6:$D$30&lt;=$A13)*('Regular Clients'!$E$6:$E$30&gt;$A13)*('Regular Clients'!$J$6:$J$30&lt;&gt;"Ended")*('Regular Clients'!$J$6:$J$30&lt;&gt;"Not started"))&gt;1,"CLASH",INDEX('Regular Clients'!$A$6:$A$30,SUMPRODUCT(MAX(('Regular Clients'!$C$6:$C$30=C$5)*('Regular Clients'!$B$6:$B$30=$B$3)*('Regular Clients'!$D$6:$D$30&lt;=$A13)*('Regular Clients'!$E$6:$E$30&gt;$A13)*('Regular Clients'!$J$6:$J$30&lt;&gt;"Ended")*('Regular Clients'!$J$6:$J$30&lt;&gt;"Not started")*(ROW('Regular Clients'!$A$6:$A$30)-ROW('Regular Clients'!$A$6)+1))))))</f>
        <v/>
      </c>
      <c r="D13" s="17" t="str">
        <f aca="false">IF(SUMPRODUCT(('Regular Clients'!$C$6:$C$30=D$5)*('Regular Clients'!$B$6:$B$30=$B$3)*('Regular Clients'!$D$6:$D$30&lt;=$A13)*('Regular Clients'!$E$6:$E$30&gt;$A13)*('Regular Clients'!$J$6:$J$30&lt;&gt;"Ended")*('Regular Clients'!$J$6:$J$30&lt;&gt;"Not started"))=0,"",IF(SUMPRODUCT(('Regular Clients'!$C$6:$C$30=D$5)*('Regular Clients'!$B$6:$B$30=$B$3)*('Regular Clients'!$D$6:$D$30&lt;=$A13)*('Regular Clients'!$E$6:$E$30&gt;$A13)*('Regular Clients'!$J$6:$J$30&lt;&gt;"Ended")*('Regular Clients'!$J$6:$J$30&lt;&gt;"Not started"))&gt;1,"CLASH",INDEX('Regular Clients'!$A$6:$A$30,SUMPRODUCT(MAX(('Regular Clients'!$C$6:$C$30=D$5)*('Regular Clients'!$B$6:$B$30=$B$3)*('Regular Clients'!$D$6:$D$30&lt;=$A13)*('Regular Clients'!$E$6:$E$30&gt;$A13)*('Regular Clients'!$J$6:$J$30&lt;&gt;"Ended")*('Regular Clients'!$J$6:$J$30&lt;&gt;"Not started")*(ROW('Regular Clients'!$A$6:$A$30)-ROW('Regular Clients'!$A$6)+1))))))</f>
        <v/>
      </c>
      <c r="E13" s="17" t="str">
        <f aca="false">IF(SUMPRODUCT(('Regular Clients'!$C$6:$C$30=E$5)*('Regular Clients'!$B$6:$B$30=$B$3)*('Regular Clients'!$D$6:$D$30&lt;=$A13)*('Regular Clients'!$E$6:$E$30&gt;$A13)*('Regular Clients'!$J$6:$J$30&lt;&gt;"Ended")*('Regular Clients'!$J$6:$J$30&lt;&gt;"Not started"))=0,"",IF(SUMPRODUCT(('Regular Clients'!$C$6:$C$30=E$5)*('Regular Clients'!$B$6:$B$30=$B$3)*('Regular Clients'!$D$6:$D$30&lt;=$A13)*('Regular Clients'!$E$6:$E$30&gt;$A13)*('Regular Clients'!$J$6:$J$30&lt;&gt;"Ended")*('Regular Clients'!$J$6:$J$30&lt;&gt;"Not started"))&gt;1,"CLASH",INDEX('Regular Clients'!$A$6:$A$30,SUMPRODUCT(MAX(('Regular Clients'!$C$6:$C$30=E$5)*('Regular Clients'!$B$6:$B$30=$B$3)*('Regular Clients'!$D$6:$D$30&lt;=$A13)*('Regular Clients'!$E$6:$E$30&gt;$A13)*('Regular Clients'!$J$6:$J$30&lt;&gt;"Ended")*('Regular Clients'!$J$6:$J$30&lt;&gt;"Not started")*(ROW('Regular Clients'!$A$6:$A$30)-ROW('Regular Clients'!$A$6)+1))))))</f>
        <v/>
      </c>
      <c r="F13" s="17" t="str">
        <f aca="false">IF(SUMPRODUCT(('Regular Clients'!$C$6:$C$30=F$5)*('Regular Clients'!$B$6:$B$30=$B$3)*('Regular Clients'!$D$6:$D$30&lt;=$A13)*('Regular Clients'!$E$6:$E$30&gt;$A13)*('Regular Clients'!$J$6:$J$30&lt;&gt;"Ended")*('Regular Clients'!$J$6:$J$30&lt;&gt;"Not started"))=0,"",IF(SUMPRODUCT(('Regular Clients'!$C$6:$C$30=F$5)*('Regular Clients'!$B$6:$B$30=$B$3)*('Regular Clients'!$D$6:$D$30&lt;=$A13)*('Regular Clients'!$E$6:$E$30&gt;$A13)*('Regular Clients'!$J$6:$J$30&lt;&gt;"Ended")*('Regular Clients'!$J$6:$J$30&lt;&gt;"Not started"))&gt;1,"CLASH",INDEX('Regular Clients'!$A$6:$A$30,SUMPRODUCT(MAX(('Regular Clients'!$C$6:$C$30=F$5)*('Regular Clients'!$B$6:$B$30=$B$3)*('Regular Clients'!$D$6:$D$30&lt;=$A13)*('Regular Clients'!$E$6:$E$30&gt;$A13)*('Regular Clients'!$J$6:$J$30&lt;&gt;"Ended")*('Regular Clients'!$J$6:$J$30&lt;&gt;"Not started")*(ROW('Regular Clients'!$A$6:$A$30)-ROW('Regular Clients'!$A$6)+1))))))</f>
        <v/>
      </c>
      <c r="G13" s="17" t="str">
        <f aca="false">IF(SUMPRODUCT(('Regular Clients'!$C$6:$C$30=G$5)*('Regular Clients'!$B$6:$B$30=$B$3)*('Regular Clients'!$D$6:$D$30&lt;=$A13)*('Regular Clients'!$E$6:$E$30&gt;$A13)*('Regular Clients'!$J$6:$J$30&lt;&gt;"Ended")*('Regular Clients'!$J$6:$J$30&lt;&gt;"Not started"))=0,"",IF(SUMPRODUCT(('Regular Clients'!$C$6:$C$30=G$5)*('Regular Clients'!$B$6:$B$30=$B$3)*('Regular Clients'!$D$6:$D$30&lt;=$A13)*('Regular Clients'!$E$6:$E$30&gt;$A13)*('Regular Clients'!$J$6:$J$30&lt;&gt;"Ended")*('Regular Clients'!$J$6:$J$30&lt;&gt;"Not started"))&gt;1,"CLASH",INDEX('Regular Clients'!$A$6:$A$30,SUMPRODUCT(MAX(('Regular Clients'!$C$6:$C$30=G$5)*('Regular Clients'!$B$6:$B$30=$B$3)*('Regular Clients'!$D$6:$D$30&lt;=$A13)*('Regular Clients'!$E$6:$E$30&gt;$A13)*('Regular Clients'!$J$6:$J$30&lt;&gt;"Ended")*('Regular Clients'!$J$6:$J$30&lt;&gt;"Not started")*(ROW('Regular Clients'!$A$6:$A$30)-ROW('Regular Clients'!$A$6)+1))))))</f>
        <v/>
      </c>
      <c r="H13" s="17" t="str">
        <f aca="false">IF(SUMPRODUCT(('Regular Clients'!$C$6:$C$30=H$5)*('Regular Clients'!$B$6:$B$30=$B$3)*('Regular Clients'!$D$6:$D$30&lt;=$A13)*('Regular Clients'!$E$6:$E$30&gt;$A13)*('Regular Clients'!$J$6:$J$30&lt;&gt;"Ended")*('Regular Clients'!$J$6:$J$30&lt;&gt;"Not started"))=0,"",IF(SUMPRODUCT(('Regular Clients'!$C$6:$C$30=H$5)*('Regular Clients'!$B$6:$B$30=$B$3)*('Regular Clients'!$D$6:$D$30&lt;=$A13)*('Regular Clients'!$E$6:$E$30&gt;$A13)*('Regular Clients'!$J$6:$J$30&lt;&gt;"Ended")*('Regular Clients'!$J$6:$J$30&lt;&gt;"Not started"))&gt;1,"CLASH",INDEX('Regular Clients'!$A$6:$A$30,SUMPRODUCT(MAX(('Regular Clients'!$C$6:$C$30=H$5)*('Regular Clients'!$B$6:$B$30=$B$3)*('Regular Clients'!$D$6:$D$30&lt;=$A13)*('Regular Clients'!$E$6:$E$30&gt;$A13)*('Regular Clients'!$J$6:$J$30&lt;&gt;"Ended")*('Regular Clients'!$J$6:$J$30&lt;&gt;"Not started")*(ROW('Regular Clients'!$A$6:$A$30)-ROW('Regular Clients'!$A$6)+1))))))</f>
        <v/>
      </c>
    </row>
    <row r="14" customFormat="false" ht="18" hidden="false" customHeight="true" outlineLevel="0" collapsed="false">
      <c r="A14" s="16" t="n">
        <v>0.625</v>
      </c>
      <c r="B14" s="17" t="str">
        <f aca="false">IF(SUMPRODUCT(('Regular Clients'!$C$6:$C$30=B$5)*('Regular Clients'!$B$6:$B$30=$B$3)*('Regular Clients'!$D$6:$D$30&lt;=$A14)*('Regular Clients'!$E$6:$E$30&gt;$A14)*('Regular Clients'!$J$6:$J$30&lt;&gt;"Ended")*('Regular Clients'!$J$6:$J$30&lt;&gt;"Not started"))=0,"",IF(SUMPRODUCT(('Regular Clients'!$C$6:$C$30=B$5)*('Regular Clients'!$B$6:$B$30=$B$3)*('Regular Clients'!$D$6:$D$30&lt;=$A14)*('Regular Clients'!$E$6:$E$30&gt;$A14)*('Regular Clients'!$J$6:$J$30&lt;&gt;"Ended")*('Regular Clients'!$J$6:$J$30&lt;&gt;"Not started"))&gt;1,"CLASH",INDEX('Regular Clients'!$A$6:$A$30,SUMPRODUCT(MAX(('Regular Clients'!$C$6:$C$30=B$5)*('Regular Clients'!$B$6:$B$30=$B$3)*('Regular Clients'!$D$6:$D$30&lt;=$A14)*('Regular Clients'!$E$6:$E$30&gt;$A14)*('Regular Clients'!$J$6:$J$30&lt;&gt;"Ended")*('Regular Clients'!$J$6:$J$30&lt;&gt;"Not started")*(ROW('Regular Clients'!$A$6:$A$30)-ROW('Regular Clients'!$A$6)+1))))))</f>
        <v/>
      </c>
      <c r="C14" s="17" t="str">
        <f aca="false">IF(SUMPRODUCT(('Regular Clients'!$C$6:$C$30=C$5)*('Regular Clients'!$B$6:$B$30=$B$3)*('Regular Clients'!$D$6:$D$30&lt;=$A14)*('Regular Clients'!$E$6:$E$30&gt;$A14)*('Regular Clients'!$J$6:$J$30&lt;&gt;"Ended")*('Regular Clients'!$J$6:$J$30&lt;&gt;"Not started"))=0,"",IF(SUMPRODUCT(('Regular Clients'!$C$6:$C$30=C$5)*('Regular Clients'!$B$6:$B$30=$B$3)*('Regular Clients'!$D$6:$D$30&lt;=$A14)*('Regular Clients'!$E$6:$E$30&gt;$A14)*('Regular Clients'!$J$6:$J$30&lt;&gt;"Ended")*('Regular Clients'!$J$6:$J$30&lt;&gt;"Not started"))&gt;1,"CLASH",INDEX('Regular Clients'!$A$6:$A$30,SUMPRODUCT(MAX(('Regular Clients'!$C$6:$C$30=C$5)*('Regular Clients'!$B$6:$B$30=$B$3)*('Regular Clients'!$D$6:$D$30&lt;=$A14)*('Regular Clients'!$E$6:$E$30&gt;$A14)*('Regular Clients'!$J$6:$J$30&lt;&gt;"Ended")*('Regular Clients'!$J$6:$J$30&lt;&gt;"Not started")*(ROW('Regular Clients'!$A$6:$A$30)-ROW('Regular Clients'!$A$6)+1))))))</f>
        <v/>
      </c>
      <c r="D14" s="17" t="str">
        <f aca="false">IF(SUMPRODUCT(('Regular Clients'!$C$6:$C$30=D$5)*('Regular Clients'!$B$6:$B$30=$B$3)*('Regular Clients'!$D$6:$D$30&lt;=$A14)*('Regular Clients'!$E$6:$E$30&gt;$A14)*('Regular Clients'!$J$6:$J$30&lt;&gt;"Ended")*('Regular Clients'!$J$6:$J$30&lt;&gt;"Not started"))=0,"",IF(SUMPRODUCT(('Regular Clients'!$C$6:$C$30=D$5)*('Regular Clients'!$B$6:$B$30=$B$3)*('Regular Clients'!$D$6:$D$30&lt;=$A14)*('Regular Clients'!$E$6:$E$30&gt;$A14)*('Regular Clients'!$J$6:$J$30&lt;&gt;"Ended")*('Regular Clients'!$J$6:$J$30&lt;&gt;"Not started"))&gt;1,"CLASH",INDEX('Regular Clients'!$A$6:$A$30,SUMPRODUCT(MAX(('Regular Clients'!$C$6:$C$30=D$5)*('Regular Clients'!$B$6:$B$30=$B$3)*('Regular Clients'!$D$6:$D$30&lt;=$A14)*('Regular Clients'!$E$6:$E$30&gt;$A14)*('Regular Clients'!$J$6:$J$30&lt;&gt;"Ended")*('Regular Clients'!$J$6:$J$30&lt;&gt;"Not started")*(ROW('Regular Clients'!$A$6:$A$30)-ROW('Regular Clients'!$A$6)+1))))))</f>
        <v/>
      </c>
      <c r="E14" s="17" t="str">
        <f aca="false">IF(SUMPRODUCT(('Regular Clients'!$C$6:$C$30=E$5)*('Regular Clients'!$B$6:$B$30=$B$3)*('Regular Clients'!$D$6:$D$30&lt;=$A14)*('Regular Clients'!$E$6:$E$30&gt;$A14)*('Regular Clients'!$J$6:$J$30&lt;&gt;"Ended")*('Regular Clients'!$J$6:$J$30&lt;&gt;"Not started"))=0,"",IF(SUMPRODUCT(('Regular Clients'!$C$6:$C$30=E$5)*('Regular Clients'!$B$6:$B$30=$B$3)*('Regular Clients'!$D$6:$D$30&lt;=$A14)*('Regular Clients'!$E$6:$E$30&gt;$A14)*('Regular Clients'!$J$6:$J$30&lt;&gt;"Ended")*('Regular Clients'!$J$6:$J$30&lt;&gt;"Not started"))&gt;1,"CLASH",INDEX('Regular Clients'!$A$6:$A$30,SUMPRODUCT(MAX(('Regular Clients'!$C$6:$C$30=E$5)*('Regular Clients'!$B$6:$B$30=$B$3)*('Regular Clients'!$D$6:$D$30&lt;=$A14)*('Regular Clients'!$E$6:$E$30&gt;$A14)*('Regular Clients'!$J$6:$J$30&lt;&gt;"Ended")*('Regular Clients'!$J$6:$J$30&lt;&gt;"Not started")*(ROW('Regular Clients'!$A$6:$A$30)-ROW('Regular Clients'!$A$6)+1))))))</f>
        <v/>
      </c>
      <c r="F14" s="17" t="str">
        <f aca="false">IF(SUMPRODUCT(('Regular Clients'!$C$6:$C$30=F$5)*('Regular Clients'!$B$6:$B$30=$B$3)*('Regular Clients'!$D$6:$D$30&lt;=$A14)*('Regular Clients'!$E$6:$E$30&gt;$A14)*('Regular Clients'!$J$6:$J$30&lt;&gt;"Ended")*('Regular Clients'!$J$6:$J$30&lt;&gt;"Not started"))=0,"",IF(SUMPRODUCT(('Regular Clients'!$C$6:$C$30=F$5)*('Regular Clients'!$B$6:$B$30=$B$3)*('Regular Clients'!$D$6:$D$30&lt;=$A14)*('Regular Clients'!$E$6:$E$30&gt;$A14)*('Regular Clients'!$J$6:$J$30&lt;&gt;"Ended")*('Regular Clients'!$J$6:$J$30&lt;&gt;"Not started"))&gt;1,"CLASH",INDEX('Regular Clients'!$A$6:$A$30,SUMPRODUCT(MAX(('Regular Clients'!$C$6:$C$30=F$5)*('Regular Clients'!$B$6:$B$30=$B$3)*('Regular Clients'!$D$6:$D$30&lt;=$A14)*('Regular Clients'!$E$6:$E$30&gt;$A14)*('Regular Clients'!$J$6:$J$30&lt;&gt;"Ended")*('Regular Clients'!$J$6:$J$30&lt;&gt;"Not started")*(ROW('Regular Clients'!$A$6:$A$30)-ROW('Regular Clients'!$A$6)+1))))))</f>
        <v/>
      </c>
      <c r="G14" s="17" t="str">
        <f aca="false">IF(SUMPRODUCT(('Regular Clients'!$C$6:$C$30=G$5)*('Regular Clients'!$B$6:$B$30=$B$3)*('Regular Clients'!$D$6:$D$30&lt;=$A14)*('Regular Clients'!$E$6:$E$30&gt;$A14)*('Regular Clients'!$J$6:$J$30&lt;&gt;"Ended")*('Regular Clients'!$J$6:$J$30&lt;&gt;"Not started"))=0,"",IF(SUMPRODUCT(('Regular Clients'!$C$6:$C$30=G$5)*('Regular Clients'!$B$6:$B$30=$B$3)*('Regular Clients'!$D$6:$D$30&lt;=$A14)*('Regular Clients'!$E$6:$E$30&gt;$A14)*('Regular Clients'!$J$6:$J$30&lt;&gt;"Ended")*('Regular Clients'!$J$6:$J$30&lt;&gt;"Not started"))&gt;1,"CLASH",INDEX('Regular Clients'!$A$6:$A$30,SUMPRODUCT(MAX(('Regular Clients'!$C$6:$C$30=G$5)*('Regular Clients'!$B$6:$B$30=$B$3)*('Regular Clients'!$D$6:$D$30&lt;=$A14)*('Regular Clients'!$E$6:$E$30&gt;$A14)*('Regular Clients'!$J$6:$J$30&lt;&gt;"Ended")*('Regular Clients'!$J$6:$J$30&lt;&gt;"Not started")*(ROW('Regular Clients'!$A$6:$A$30)-ROW('Regular Clients'!$A$6)+1))))))</f>
        <v/>
      </c>
      <c r="H14" s="17" t="str">
        <f aca="false">IF(SUMPRODUCT(('Regular Clients'!$C$6:$C$30=H$5)*('Regular Clients'!$B$6:$B$30=$B$3)*('Regular Clients'!$D$6:$D$30&lt;=$A14)*('Regular Clients'!$E$6:$E$30&gt;$A14)*('Regular Clients'!$J$6:$J$30&lt;&gt;"Ended")*('Regular Clients'!$J$6:$J$30&lt;&gt;"Not started"))=0,"",IF(SUMPRODUCT(('Regular Clients'!$C$6:$C$30=H$5)*('Regular Clients'!$B$6:$B$30=$B$3)*('Regular Clients'!$D$6:$D$30&lt;=$A14)*('Regular Clients'!$E$6:$E$30&gt;$A14)*('Regular Clients'!$J$6:$J$30&lt;&gt;"Ended")*('Regular Clients'!$J$6:$J$30&lt;&gt;"Not started"))&gt;1,"CLASH",INDEX('Regular Clients'!$A$6:$A$30,SUMPRODUCT(MAX(('Regular Clients'!$C$6:$C$30=H$5)*('Regular Clients'!$B$6:$B$30=$B$3)*('Regular Clients'!$D$6:$D$30&lt;=$A14)*('Regular Clients'!$E$6:$E$30&gt;$A14)*('Regular Clients'!$J$6:$J$30&lt;&gt;"Ended")*('Regular Clients'!$J$6:$J$30&lt;&gt;"Not started")*(ROW('Regular Clients'!$A$6:$A$30)-ROW('Regular Clients'!$A$6)+1))))))</f>
        <v/>
      </c>
    </row>
    <row r="15" customFormat="false" ht="18" hidden="false" customHeight="true" outlineLevel="0" collapsed="false">
      <c r="A15" s="16" t="n">
        <v>0.666666666666667</v>
      </c>
      <c r="B15" s="17" t="str">
        <f aca="false">IF(SUMPRODUCT(('Regular Clients'!$C$6:$C$30=B$5)*('Regular Clients'!$B$6:$B$30=$B$3)*('Regular Clients'!$D$6:$D$30&lt;=$A15)*('Regular Clients'!$E$6:$E$30&gt;$A15)*('Regular Clients'!$J$6:$J$30&lt;&gt;"Ended")*('Regular Clients'!$J$6:$J$30&lt;&gt;"Not started"))=0,"",IF(SUMPRODUCT(('Regular Clients'!$C$6:$C$30=B$5)*('Regular Clients'!$B$6:$B$30=$B$3)*('Regular Clients'!$D$6:$D$30&lt;=$A15)*('Regular Clients'!$E$6:$E$30&gt;$A15)*('Regular Clients'!$J$6:$J$30&lt;&gt;"Ended")*('Regular Clients'!$J$6:$J$30&lt;&gt;"Not started"))&gt;1,"CLASH",INDEX('Regular Clients'!$A$6:$A$30,SUMPRODUCT(MAX(('Regular Clients'!$C$6:$C$30=B$5)*('Regular Clients'!$B$6:$B$30=$B$3)*('Regular Clients'!$D$6:$D$30&lt;=$A15)*('Regular Clients'!$E$6:$E$30&gt;$A15)*('Regular Clients'!$J$6:$J$30&lt;&gt;"Ended")*('Regular Clients'!$J$6:$J$30&lt;&gt;"Not started")*(ROW('Regular Clients'!$A$6:$A$30)-ROW('Regular Clients'!$A$6)+1))))))</f>
        <v/>
      </c>
      <c r="C15" s="17" t="str">
        <f aca="false">IF(SUMPRODUCT(('Regular Clients'!$C$6:$C$30=C$5)*('Regular Clients'!$B$6:$B$30=$B$3)*('Regular Clients'!$D$6:$D$30&lt;=$A15)*('Regular Clients'!$E$6:$E$30&gt;$A15)*('Regular Clients'!$J$6:$J$30&lt;&gt;"Ended")*('Regular Clients'!$J$6:$J$30&lt;&gt;"Not started"))=0,"",IF(SUMPRODUCT(('Regular Clients'!$C$6:$C$30=C$5)*('Regular Clients'!$B$6:$B$30=$B$3)*('Regular Clients'!$D$6:$D$30&lt;=$A15)*('Regular Clients'!$E$6:$E$30&gt;$A15)*('Regular Clients'!$J$6:$J$30&lt;&gt;"Ended")*('Regular Clients'!$J$6:$J$30&lt;&gt;"Not started"))&gt;1,"CLASH",INDEX('Regular Clients'!$A$6:$A$30,SUMPRODUCT(MAX(('Regular Clients'!$C$6:$C$30=C$5)*('Regular Clients'!$B$6:$B$30=$B$3)*('Regular Clients'!$D$6:$D$30&lt;=$A15)*('Regular Clients'!$E$6:$E$30&gt;$A15)*('Regular Clients'!$J$6:$J$30&lt;&gt;"Ended")*('Regular Clients'!$J$6:$J$30&lt;&gt;"Not started")*(ROW('Regular Clients'!$A$6:$A$30)-ROW('Regular Clients'!$A$6)+1))))))</f>
        <v/>
      </c>
      <c r="D15" s="17" t="str">
        <f aca="false">IF(SUMPRODUCT(('Regular Clients'!$C$6:$C$30=D$5)*('Regular Clients'!$B$6:$B$30=$B$3)*('Regular Clients'!$D$6:$D$30&lt;=$A15)*('Regular Clients'!$E$6:$E$30&gt;$A15)*('Regular Clients'!$J$6:$J$30&lt;&gt;"Ended")*('Regular Clients'!$J$6:$J$30&lt;&gt;"Not started"))=0,"",IF(SUMPRODUCT(('Regular Clients'!$C$6:$C$30=D$5)*('Regular Clients'!$B$6:$B$30=$B$3)*('Regular Clients'!$D$6:$D$30&lt;=$A15)*('Regular Clients'!$E$6:$E$30&gt;$A15)*('Regular Clients'!$J$6:$J$30&lt;&gt;"Ended")*('Regular Clients'!$J$6:$J$30&lt;&gt;"Not started"))&gt;1,"CLASH",INDEX('Regular Clients'!$A$6:$A$30,SUMPRODUCT(MAX(('Regular Clients'!$C$6:$C$30=D$5)*('Regular Clients'!$B$6:$B$30=$B$3)*('Regular Clients'!$D$6:$D$30&lt;=$A15)*('Regular Clients'!$E$6:$E$30&gt;$A15)*('Regular Clients'!$J$6:$J$30&lt;&gt;"Ended")*('Regular Clients'!$J$6:$J$30&lt;&gt;"Not started")*(ROW('Regular Clients'!$A$6:$A$30)-ROW('Regular Clients'!$A$6)+1))))))</f>
        <v/>
      </c>
      <c r="E15" s="17" t="str">
        <f aca="false">IF(SUMPRODUCT(('Regular Clients'!$C$6:$C$30=E$5)*('Regular Clients'!$B$6:$B$30=$B$3)*('Regular Clients'!$D$6:$D$30&lt;=$A15)*('Regular Clients'!$E$6:$E$30&gt;$A15)*('Regular Clients'!$J$6:$J$30&lt;&gt;"Ended")*('Regular Clients'!$J$6:$J$30&lt;&gt;"Not started"))=0,"",IF(SUMPRODUCT(('Regular Clients'!$C$6:$C$30=E$5)*('Regular Clients'!$B$6:$B$30=$B$3)*('Regular Clients'!$D$6:$D$30&lt;=$A15)*('Regular Clients'!$E$6:$E$30&gt;$A15)*('Regular Clients'!$J$6:$J$30&lt;&gt;"Ended")*('Regular Clients'!$J$6:$J$30&lt;&gt;"Not started"))&gt;1,"CLASH",INDEX('Regular Clients'!$A$6:$A$30,SUMPRODUCT(MAX(('Regular Clients'!$C$6:$C$30=E$5)*('Regular Clients'!$B$6:$B$30=$B$3)*('Regular Clients'!$D$6:$D$30&lt;=$A15)*('Regular Clients'!$E$6:$E$30&gt;$A15)*('Regular Clients'!$J$6:$J$30&lt;&gt;"Ended")*('Regular Clients'!$J$6:$J$30&lt;&gt;"Not started")*(ROW('Regular Clients'!$A$6:$A$30)-ROW('Regular Clients'!$A$6)+1))))))</f>
        <v/>
      </c>
      <c r="F15" s="17" t="str">
        <f aca="false">IF(SUMPRODUCT(('Regular Clients'!$C$6:$C$30=F$5)*('Regular Clients'!$B$6:$B$30=$B$3)*('Regular Clients'!$D$6:$D$30&lt;=$A15)*('Regular Clients'!$E$6:$E$30&gt;$A15)*('Regular Clients'!$J$6:$J$30&lt;&gt;"Ended")*('Regular Clients'!$J$6:$J$30&lt;&gt;"Not started"))=0,"",IF(SUMPRODUCT(('Regular Clients'!$C$6:$C$30=F$5)*('Regular Clients'!$B$6:$B$30=$B$3)*('Regular Clients'!$D$6:$D$30&lt;=$A15)*('Regular Clients'!$E$6:$E$30&gt;$A15)*('Regular Clients'!$J$6:$J$30&lt;&gt;"Ended")*('Regular Clients'!$J$6:$J$30&lt;&gt;"Not started"))&gt;1,"CLASH",INDEX('Regular Clients'!$A$6:$A$30,SUMPRODUCT(MAX(('Regular Clients'!$C$6:$C$30=F$5)*('Regular Clients'!$B$6:$B$30=$B$3)*('Regular Clients'!$D$6:$D$30&lt;=$A15)*('Regular Clients'!$E$6:$E$30&gt;$A15)*('Regular Clients'!$J$6:$J$30&lt;&gt;"Ended")*('Regular Clients'!$J$6:$J$30&lt;&gt;"Not started")*(ROW('Regular Clients'!$A$6:$A$30)-ROW('Regular Clients'!$A$6)+1))))))</f>
        <v/>
      </c>
      <c r="G15" s="17" t="str">
        <f aca="false">IF(SUMPRODUCT(('Regular Clients'!$C$6:$C$30=G$5)*('Regular Clients'!$B$6:$B$30=$B$3)*('Regular Clients'!$D$6:$D$30&lt;=$A15)*('Regular Clients'!$E$6:$E$30&gt;$A15)*('Regular Clients'!$J$6:$J$30&lt;&gt;"Ended")*('Regular Clients'!$J$6:$J$30&lt;&gt;"Not started"))=0,"",IF(SUMPRODUCT(('Regular Clients'!$C$6:$C$30=G$5)*('Regular Clients'!$B$6:$B$30=$B$3)*('Regular Clients'!$D$6:$D$30&lt;=$A15)*('Regular Clients'!$E$6:$E$30&gt;$A15)*('Regular Clients'!$J$6:$J$30&lt;&gt;"Ended")*('Regular Clients'!$J$6:$J$30&lt;&gt;"Not started"))&gt;1,"CLASH",INDEX('Regular Clients'!$A$6:$A$30,SUMPRODUCT(MAX(('Regular Clients'!$C$6:$C$30=G$5)*('Regular Clients'!$B$6:$B$30=$B$3)*('Regular Clients'!$D$6:$D$30&lt;=$A15)*('Regular Clients'!$E$6:$E$30&gt;$A15)*('Regular Clients'!$J$6:$J$30&lt;&gt;"Ended")*('Regular Clients'!$J$6:$J$30&lt;&gt;"Not started")*(ROW('Regular Clients'!$A$6:$A$30)-ROW('Regular Clients'!$A$6)+1))))))</f>
        <v/>
      </c>
      <c r="H15" s="17" t="str">
        <f aca="false">IF(SUMPRODUCT(('Regular Clients'!$C$6:$C$30=H$5)*('Regular Clients'!$B$6:$B$30=$B$3)*('Regular Clients'!$D$6:$D$30&lt;=$A15)*('Regular Clients'!$E$6:$E$30&gt;$A15)*('Regular Clients'!$J$6:$J$30&lt;&gt;"Ended")*('Regular Clients'!$J$6:$J$30&lt;&gt;"Not started"))=0,"",IF(SUMPRODUCT(('Regular Clients'!$C$6:$C$30=H$5)*('Regular Clients'!$B$6:$B$30=$B$3)*('Regular Clients'!$D$6:$D$30&lt;=$A15)*('Regular Clients'!$E$6:$E$30&gt;$A15)*('Regular Clients'!$J$6:$J$30&lt;&gt;"Ended")*('Regular Clients'!$J$6:$J$30&lt;&gt;"Not started"))&gt;1,"CLASH",INDEX('Regular Clients'!$A$6:$A$30,SUMPRODUCT(MAX(('Regular Clients'!$C$6:$C$30=H$5)*('Regular Clients'!$B$6:$B$30=$B$3)*('Regular Clients'!$D$6:$D$30&lt;=$A15)*('Regular Clients'!$E$6:$E$30&gt;$A15)*('Regular Clients'!$J$6:$J$30&lt;&gt;"Ended")*('Regular Clients'!$J$6:$J$30&lt;&gt;"Not started")*(ROW('Regular Clients'!$A$6:$A$30)-ROW('Regular Clients'!$A$6)+1))))))</f>
        <v/>
      </c>
    </row>
    <row r="16" customFormat="false" ht="18" hidden="false" customHeight="true" outlineLevel="0" collapsed="false">
      <c r="A16" s="16" t="n">
        <v>0.708333333333333</v>
      </c>
      <c r="B16" s="17" t="str">
        <f aca="false">IF(SUMPRODUCT(('Regular Clients'!$C$6:$C$30=B$5)*('Regular Clients'!$B$6:$B$30=$B$3)*('Regular Clients'!$D$6:$D$30&lt;=$A16)*('Regular Clients'!$E$6:$E$30&gt;$A16)*('Regular Clients'!$J$6:$J$30&lt;&gt;"Ended")*('Regular Clients'!$J$6:$J$30&lt;&gt;"Not started"))=0,"",IF(SUMPRODUCT(('Regular Clients'!$C$6:$C$30=B$5)*('Regular Clients'!$B$6:$B$30=$B$3)*('Regular Clients'!$D$6:$D$30&lt;=$A16)*('Regular Clients'!$E$6:$E$30&gt;$A16)*('Regular Clients'!$J$6:$J$30&lt;&gt;"Ended")*('Regular Clients'!$J$6:$J$30&lt;&gt;"Not started"))&gt;1,"CLASH",INDEX('Regular Clients'!$A$6:$A$30,SUMPRODUCT(MAX(('Regular Clients'!$C$6:$C$30=B$5)*('Regular Clients'!$B$6:$B$30=$B$3)*('Regular Clients'!$D$6:$D$30&lt;=$A16)*('Regular Clients'!$E$6:$E$30&gt;$A16)*('Regular Clients'!$J$6:$J$30&lt;&gt;"Ended")*('Regular Clients'!$J$6:$J$30&lt;&gt;"Not started")*(ROW('Regular Clients'!$A$6:$A$30)-ROW('Regular Clients'!$A$6)+1))))))</f>
        <v>Example Club</v>
      </c>
      <c r="C16" s="17" t="str">
        <f aca="false">IF(SUMPRODUCT(('Regular Clients'!$C$6:$C$30=C$5)*('Regular Clients'!$B$6:$B$30=$B$3)*('Regular Clients'!$D$6:$D$30&lt;=$A16)*('Regular Clients'!$E$6:$E$30&gt;$A16)*('Regular Clients'!$J$6:$J$30&lt;&gt;"Ended")*('Regular Clients'!$J$6:$J$30&lt;&gt;"Not started"))=0,"",IF(SUMPRODUCT(('Regular Clients'!$C$6:$C$30=C$5)*('Regular Clients'!$B$6:$B$30=$B$3)*('Regular Clients'!$D$6:$D$30&lt;=$A16)*('Regular Clients'!$E$6:$E$30&gt;$A16)*('Regular Clients'!$J$6:$J$30&lt;&gt;"Ended")*('Regular Clients'!$J$6:$J$30&lt;&gt;"Not started"))&gt;1,"CLASH",INDEX('Regular Clients'!$A$6:$A$30,SUMPRODUCT(MAX(('Regular Clients'!$C$6:$C$30=C$5)*('Regular Clients'!$B$6:$B$30=$B$3)*('Regular Clients'!$D$6:$D$30&lt;=$A16)*('Regular Clients'!$E$6:$E$30&gt;$A16)*('Regular Clients'!$J$6:$J$30&lt;&gt;"Ended")*('Regular Clients'!$J$6:$J$30&lt;&gt;"Not started")*(ROW('Regular Clients'!$A$6:$A$30)-ROW('Regular Clients'!$A$6)+1))))))</f>
        <v/>
      </c>
      <c r="D16" s="17" t="str">
        <f aca="false">IF(SUMPRODUCT(('Regular Clients'!$C$6:$C$30=D$5)*('Regular Clients'!$B$6:$B$30=$B$3)*('Regular Clients'!$D$6:$D$30&lt;=$A16)*('Regular Clients'!$E$6:$E$30&gt;$A16)*('Regular Clients'!$J$6:$J$30&lt;&gt;"Ended")*('Regular Clients'!$J$6:$J$30&lt;&gt;"Not started"))=0,"",IF(SUMPRODUCT(('Regular Clients'!$C$6:$C$30=D$5)*('Regular Clients'!$B$6:$B$30=$B$3)*('Regular Clients'!$D$6:$D$30&lt;=$A16)*('Regular Clients'!$E$6:$E$30&gt;$A16)*('Regular Clients'!$J$6:$J$30&lt;&gt;"Ended")*('Regular Clients'!$J$6:$J$30&lt;&gt;"Not started"))&gt;1,"CLASH",INDEX('Regular Clients'!$A$6:$A$30,SUMPRODUCT(MAX(('Regular Clients'!$C$6:$C$30=D$5)*('Regular Clients'!$B$6:$B$30=$B$3)*('Regular Clients'!$D$6:$D$30&lt;=$A16)*('Regular Clients'!$E$6:$E$30&gt;$A16)*('Regular Clients'!$J$6:$J$30&lt;&gt;"Ended")*('Regular Clients'!$J$6:$J$30&lt;&gt;"Not started")*(ROW('Regular Clients'!$A$6:$A$30)-ROW('Regular Clients'!$A$6)+1))))))</f>
        <v>Example Club</v>
      </c>
      <c r="E16" s="17" t="str">
        <f aca="false">IF(SUMPRODUCT(('Regular Clients'!$C$6:$C$30=E$5)*('Regular Clients'!$B$6:$B$30=$B$3)*('Regular Clients'!$D$6:$D$30&lt;=$A16)*('Regular Clients'!$E$6:$E$30&gt;$A16)*('Regular Clients'!$J$6:$J$30&lt;&gt;"Ended")*('Regular Clients'!$J$6:$J$30&lt;&gt;"Not started"))=0,"",IF(SUMPRODUCT(('Regular Clients'!$C$6:$C$30=E$5)*('Regular Clients'!$B$6:$B$30=$B$3)*('Regular Clients'!$D$6:$D$30&lt;=$A16)*('Regular Clients'!$E$6:$E$30&gt;$A16)*('Regular Clients'!$J$6:$J$30&lt;&gt;"Ended")*('Regular Clients'!$J$6:$J$30&lt;&gt;"Not started"))&gt;1,"CLASH",INDEX('Regular Clients'!$A$6:$A$30,SUMPRODUCT(MAX(('Regular Clients'!$C$6:$C$30=E$5)*('Regular Clients'!$B$6:$B$30=$B$3)*('Regular Clients'!$D$6:$D$30&lt;=$A16)*('Regular Clients'!$E$6:$E$30&gt;$A16)*('Regular Clients'!$J$6:$J$30&lt;&gt;"Ended")*('Regular Clients'!$J$6:$J$30&lt;&gt;"Not started")*(ROW('Regular Clients'!$A$6:$A$30)-ROW('Regular Clients'!$A$6)+1))))))</f>
        <v/>
      </c>
      <c r="F16" s="17" t="str">
        <f aca="false">IF(SUMPRODUCT(('Regular Clients'!$C$6:$C$30=F$5)*('Regular Clients'!$B$6:$B$30=$B$3)*('Regular Clients'!$D$6:$D$30&lt;=$A16)*('Regular Clients'!$E$6:$E$30&gt;$A16)*('Regular Clients'!$J$6:$J$30&lt;&gt;"Ended")*('Regular Clients'!$J$6:$J$30&lt;&gt;"Not started"))=0,"",IF(SUMPRODUCT(('Regular Clients'!$C$6:$C$30=F$5)*('Regular Clients'!$B$6:$B$30=$B$3)*('Regular Clients'!$D$6:$D$30&lt;=$A16)*('Regular Clients'!$E$6:$E$30&gt;$A16)*('Regular Clients'!$J$6:$J$30&lt;&gt;"Ended")*('Regular Clients'!$J$6:$J$30&lt;&gt;"Not started"))&gt;1,"CLASH",INDEX('Regular Clients'!$A$6:$A$30,SUMPRODUCT(MAX(('Regular Clients'!$C$6:$C$30=F$5)*('Regular Clients'!$B$6:$B$30=$B$3)*('Regular Clients'!$D$6:$D$30&lt;=$A16)*('Regular Clients'!$E$6:$E$30&gt;$A16)*('Regular Clients'!$J$6:$J$30&lt;&gt;"Ended")*('Regular Clients'!$J$6:$J$30&lt;&gt;"Not started")*(ROW('Regular Clients'!$A$6:$A$30)-ROW('Regular Clients'!$A$6)+1))))))</f>
        <v/>
      </c>
      <c r="G16" s="17" t="str">
        <f aca="false">IF(SUMPRODUCT(('Regular Clients'!$C$6:$C$30=G$5)*('Regular Clients'!$B$6:$B$30=$B$3)*('Regular Clients'!$D$6:$D$30&lt;=$A16)*('Regular Clients'!$E$6:$E$30&gt;$A16)*('Regular Clients'!$J$6:$J$30&lt;&gt;"Ended")*('Regular Clients'!$J$6:$J$30&lt;&gt;"Not started"))=0,"",IF(SUMPRODUCT(('Regular Clients'!$C$6:$C$30=G$5)*('Regular Clients'!$B$6:$B$30=$B$3)*('Regular Clients'!$D$6:$D$30&lt;=$A16)*('Regular Clients'!$E$6:$E$30&gt;$A16)*('Regular Clients'!$J$6:$J$30&lt;&gt;"Ended")*('Regular Clients'!$J$6:$J$30&lt;&gt;"Not started"))&gt;1,"CLASH",INDEX('Regular Clients'!$A$6:$A$30,SUMPRODUCT(MAX(('Regular Clients'!$C$6:$C$30=G$5)*('Regular Clients'!$B$6:$B$30=$B$3)*('Regular Clients'!$D$6:$D$30&lt;=$A16)*('Regular Clients'!$E$6:$E$30&gt;$A16)*('Regular Clients'!$J$6:$J$30&lt;&gt;"Ended")*('Regular Clients'!$J$6:$J$30&lt;&gt;"Not started")*(ROW('Regular Clients'!$A$6:$A$30)-ROW('Regular Clients'!$A$6)+1))))))</f>
        <v/>
      </c>
      <c r="H16" s="17" t="str">
        <f aca="false">IF(SUMPRODUCT(('Regular Clients'!$C$6:$C$30=H$5)*('Regular Clients'!$B$6:$B$30=$B$3)*('Regular Clients'!$D$6:$D$30&lt;=$A16)*('Regular Clients'!$E$6:$E$30&gt;$A16)*('Regular Clients'!$J$6:$J$30&lt;&gt;"Ended")*('Regular Clients'!$J$6:$J$30&lt;&gt;"Not started"))=0,"",IF(SUMPRODUCT(('Regular Clients'!$C$6:$C$30=H$5)*('Regular Clients'!$B$6:$B$30=$B$3)*('Regular Clients'!$D$6:$D$30&lt;=$A16)*('Regular Clients'!$E$6:$E$30&gt;$A16)*('Regular Clients'!$J$6:$J$30&lt;&gt;"Ended")*('Regular Clients'!$J$6:$J$30&lt;&gt;"Not started"))&gt;1,"CLASH",INDEX('Regular Clients'!$A$6:$A$30,SUMPRODUCT(MAX(('Regular Clients'!$C$6:$C$30=H$5)*('Regular Clients'!$B$6:$B$30=$B$3)*('Regular Clients'!$D$6:$D$30&lt;=$A16)*('Regular Clients'!$E$6:$E$30&gt;$A16)*('Regular Clients'!$J$6:$J$30&lt;&gt;"Ended")*('Regular Clients'!$J$6:$J$30&lt;&gt;"Not started")*(ROW('Regular Clients'!$A$6:$A$30)-ROW('Regular Clients'!$A$6)+1))))))</f>
        <v/>
      </c>
    </row>
    <row r="17" customFormat="false" ht="18" hidden="false" customHeight="true" outlineLevel="0" collapsed="false">
      <c r="A17" s="16" t="n">
        <v>0.75</v>
      </c>
      <c r="B17" s="17" t="str">
        <f aca="false">IF(SUMPRODUCT(('Regular Clients'!$C$6:$C$30=B$5)*('Regular Clients'!$B$6:$B$30=$B$3)*('Regular Clients'!$D$6:$D$30&lt;=$A17)*('Regular Clients'!$E$6:$E$30&gt;$A17)*('Regular Clients'!$J$6:$J$30&lt;&gt;"Ended")*('Regular Clients'!$J$6:$J$30&lt;&gt;"Not started"))=0,"",IF(SUMPRODUCT(('Regular Clients'!$C$6:$C$30=B$5)*('Regular Clients'!$B$6:$B$30=$B$3)*('Regular Clients'!$D$6:$D$30&lt;=$A17)*('Regular Clients'!$E$6:$E$30&gt;$A17)*('Regular Clients'!$J$6:$J$30&lt;&gt;"Ended")*('Regular Clients'!$J$6:$J$30&lt;&gt;"Not started"))&gt;1,"CLASH",INDEX('Regular Clients'!$A$6:$A$30,SUMPRODUCT(MAX(('Regular Clients'!$C$6:$C$30=B$5)*('Regular Clients'!$B$6:$B$30=$B$3)*('Regular Clients'!$D$6:$D$30&lt;=$A17)*('Regular Clients'!$E$6:$E$30&gt;$A17)*('Regular Clients'!$J$6:$J$30&lt;&gt;"Ended")*('Regular Clients'!$J$6:$J$30&lt;&gt;"Not started")*(ROW('Regular Clients'!$A$6:$A$30)-ROW('Regular Clients'!$A$6)+1))))))</f>
        <v>Example Club</v>
      </c>
      <c r="C17" s="17" t="str">
        <f aca="false">IF(SUMPRODUCT(('Regular Clients'!$C$6:$C$30=C$5)*('Regular Clients'!$B$6:$B$30=$B$3)*('Regular Clients'!$D$6:$D$30&lt;=$A17)*('Regular Clients'!$E$6:$E$30&gt;$A17)*('Regular Clients'!$J$6:$J$30&lt;&gt;"Ended")*('Regular Clients'!$J$6:$J$30&lt;&gt;"Not started"))=0,"",IF(SUMPRODUCT(('Regular Clients'!$C$6:$C$30=C$5)*('Regular Clients'!$B$6:$B$30=$B$3)*('Regular Clients'!$D$6:$D$30&lt;=$A17)*('Regular Clients'!$E$6:$E$30&gt;$A17)*('Regular Clients'!$J$6:$J$30&lt;&gt;"Ended")*('Regular Clients'!$J$6:$J$30&lt;&gt;"Not started"))&gt;1,"CLASH",INDEX('Regular Clients'!$A$6:$A$30,SUMPRODUCT(MAX(('Regular Clients'!$C$6:$C$30=C$5)*('Regular Clients'!$B$6:$B$30=$B$3)*('Regular Clients'!$D$6:$D$30&lt;=$A17)*('Regular Clients'!$E$6:$E$30&gt;$A17)*('Regular Clients'!$J$6:$J$30&lt;&gt;"Ended")*('Regular Clients'!$J$6:$J$30&lt;&gt;"Not started")*(ROW('Regular Clients'!$A$6:$A$30)-ROW('Regular Clients'!$A$6)+1))))))</f>
        <v/>
      </c>
      <c r="D17" s="17" t="str">
        <f aca="false">IF(SUMPRODUCT(('Regular Clients'!$C$6:$C$30=D$5)*('Regular Clients'!$B$6:$B$30=$B$3)*('Regular Clients'!$D$6:$D$30&lt;=$A17)*('Regular Clients'!$E$6:$E$30&gt;$A17)*('Regular Clients'!$J$6:$J$30&lt;&gt;"Ended")*('Regular Clients'!$J$6:$J$30&lt;&gt;"Not started"))=0,"",IF(SUMPRODUCT(('Regular Clients'!$C$6:$C$30=D$5)*('Regular Clients'!$B$6:$B$30=$B$3)*('Regular Clients'!$D$6:$D$30&lt;=$A17)*('Regular Clients'!$E$6:$E$30&gt;$A17)*('Regular Clients'!$J$6:$J$30&lt;&gt;"Ended")*('Regular Clients'!$J$6:$J$30&lt;&gt;"Not started"))&gt;1,"CLASH",INDEX('Regular Clients'!$A$6:$A$30,SUMPRODUCT(MAX(('Regular Clients'!$C$6:$C$30=D$5)*('Regular Clients'!$B$6:$B$30=$B$3)*('Regular Clients'!$D$6:$D$30&lt;=$A17)*('Regular Clients'!$E$6:$E$30&gt;$A17)*('Regular Clients'!$J$6:$J$30&lt;&gt;"Ended")*('Regular Clients'!$J$6:$J$30&lt;&gt;"Not started")*(ROW('Regular Clients'!$A$6:$A$30)-ROW('Regular Clients'!$A$6)+1))))))</f>
        <v>Example Club</v>
      </c>
      <c r="E17" s="17" t="str">
        <f aca="false">IF(SUMPRODUCT(('Regular Clients'!$C$6:$C$30=E$5)*('Regular Clients'!$B$6:$B$30=$B$3)*('Regular Clients'!$D$6:$D$30&lt;=$A17)*('Regular Clients'!$E$6:$E$30&gt;$A17)*('Regular Clients'!$J$6:$J$30&lt;&gt;"Ended")*('Regular Clients'!$J$6:$J$30&lt;&gt;"Not started"))=0,"",IF(SUMPRODUCT(('Regular Clients'!$C$6:$C$30=E$5)*('Regular Clients'!$B$6:$B$30=$B$3)*('Regular Clients'!$D$6:$D$30&lt;=$A17)*('Regular Clients'!$E$6:$E$30&gt;$A17)*('Regular Clients'!$J$6:$J$30&lt;&gt;"Ended")*('Regular Clients'!$J$6:$J$30&lt;&gt;"Not started"))&gt;1,"CLASH",INDEX('Regular Clients'!$A$6:$A$30,SUMPRODUCT(MAX(('Regular Clients'!$C$6:$C$30=E$5)*('Regular Clients'!$B$6:$B$30=$B$3)*('Regular Clients'!$D$6:$D$30&lt;=$A17)*('Regular Clients'!$E$6:$E$30&gt;$A17)*('Regular Clients'!$J$6:$J$30&lt;&gt;"Ended")*('Regular Clients'!$J$6:$J$30&lt;&gt;"Not started")*(ROW('Regular Clients'!$A$6:$A$30)-ROW('Regular Clients'!$A$6)+1))))))</f>
        <v/>
      </c>
      <c r="F17" s="17" t="str">
        <f aca="false">IF(SUMPRODUCT(('Regular Clients'!$C$6:$C$30=F$5)*('Regular Clients'!$B$6:$B$30=$B$3)*('Regular Clients'!$D$6:$D$30&lt;=$A17)*('Regular Clients'!$E$6:$E$30&gt;$A17)*('Regular Clients'!$J$6:$J$30&lt;&gt;"Ended")*('Regular Clients'!$J$6:$J$30&lt;&gt;"Not started"))=0,"",IF(SUMPRODUCT(('Regular Clients'!$C$6:$C$30=F$5)*('Regular Clients'!$B$6:$B$30=$B$3)*('Regular Clients'!$D$6:$D$30&lt;=$A17)*('Regular Clients'!$E$6:$E$30&gt;$A17)*('Regular Clients'!$J$6:$J$30&lt;&gt;"Ended")*('Regular Clients'!$J$6:$J$30&lt;&gt;"Not started"))&gt;1,"CLASH",INDEX('Regular Clients'!$A$6:$A$30,SUMPRODUCT(MAX(('Regular Clients'!$C$6:$C$30=F$5)*('Regular Clients'!$B$6:$B$30=$B$3)*('Regular Clients'!$D$6:$D$30&lt;=$A17)*('Regular Clients'!$E$6:$E$30&gt;$A17)*('Regular Clients'!$J$6:$J$30&lt;&gt;"Ended")*('Regular Clients'!$J$6:$J$30&lt;&gt;"Not started")*(ROW('Regular Clients'!$A$6:$A$30)-ROW('Regular Clients'!$A$6)+1))))))</f>
        <v/>
      </c>
      <c r="G17" s="17" t="str">
        <f aca="false">IF(SUMPRODUCT(('Regular Clients'!$C$6:$C$30=G$5)*('Regular Clients'!$B$6:$B$30=$B$3)*('Regular Clients'!$D$6:$D$30&lt;=$A17)*('Regular Clients'!$E$6:$E$30&gt;$A17)*('Regular Clients'!$J$6:$J$30&lt;&gt;"Ended")*('Regular Clients'!$J$6:$J$30&lt;&gt;"Not started"))=0,"",IF(SUMPRODUCT(('Regular Clients'!$C$6:$C$30=G$5)*('Regular Clients'!$B$6:$B$30=$B$3)*('Regular Clients'!$D$6:$D$30&lt;=$A17)*('Regular Clients'!$E$6:$E$30&gt;$A17)*('Regular Clients'!$J$6:$J$30&lt;&gt;"Ended")*('Regular Clients'!$J$6:$J$30&lt;&gt;"Not started"))&gt;1,"CLASH",INDEX('Regular Clients'!$A$6:$A$30,SUMPRODUCT(MAX(('Regular Clients'!$C$6:$C$30=G$5)*('Regular Clients'!$B$6:$B$30=$B$3)*('Regular Clients'!$D$6:$D$30&lt;=$A17)*('Regular Clients'!$E$6:$E$30&gt;$A17)*('Regular Clients'!$J$6:$J$30&lt;&gt;"Ended")*('Regular Clients'!$J$6:$J$30&lt;&gt;"Not started")*(ROW('Regular Clients'!$A$6:$A$30)-ROW('Regular Clients'!$A$6)+1))))))</f>
        <v/>
      </c>
      <c r="H17" s="17" t="str">
        <f aca="false">IF(SUMPRODUCT(('Regular Clients'!$C$6:$C$30=H$5)*('Regular Clients'!$B$6:$B$30=$B$3)*('Regular Clients'!$D$6:$D$30&lt;=$A17)*('Regular Clients'!$E$6:$E$30&gt;$A17)*('Regular Clients'!$J$6:$J$30&lt;&gt;"Ended")*('Regular Clients'!$J$6:$J$30&lt;&gt;"Not started"))=0,"",IF(SUMPRODUCT(('Regular Clients'!$C$6:$C$30=H$5)*('Regular Clients'!$B$6:$B$30=$B$3)*('Regular Clients'!$D$6:$D$30&lt;=$A17)*('Regular Clients'!$E$6:$E$30&gt;$A17)*('Regular Clients'!$J$6:$J$30&lt;&gt;"Ended")*('Regular Clients'!$J$6:$J$30&lt;&gt;"Not started"))&gt;1,"CLASH",INDEX('Regular Clients'!$A$6:$A$30,SUMPRODUCT(MAX(('Regular Clients'!$C$6:$C$30=H$5)*('Regular Clients'!$B$6:$B$30=$B$3)*('Regular Clients'!$D$6:$D$30&lt;=$A17)*('Regular Clients'!$E$6:$E$30&gt;$A17)*('Regular Clients'!$J$6:$J$30&lt;&gt;"Ended")*('Regular Clients'!$J$6:$J$30&lt;&gt;"Not started")*(ROW('Regular Clients'!$A$6:$A$30)-ROW('Regular Clients'!$A$6)+1))))))</f>
        <v/>
      </c>
    </row>
    <row r="18" customFormat="false" ht="18" hidden="false" customHeight="true" outlineLevel="0" collapsed="false">
      <c r="A18" s="16" t="n">
        <v>0.791666666666667</v>
      </c>
      <c r="B18" s="17" t="str">
        <f aca="false">IF(SUMPRODUCT(('Regular Clients'!$C$6:$C$30=B$5)*('Regular Clients'!$B$6:$B$30=$B$3)*('Regular Clients'!$D$6:$D$30&lt;=$A18)*('Regular Clients'!$E$6:$E$30&gt;$A18)*('Regular Clients'!$J$6:$J$30&lt;&gt;"Ended")*('Regular Clients'!$J$6:$J$30&lt;&gt;"Not started"))=0,"",IF(SUMPRODUCT(('Regular Clients'!$C$6:$C$30=B$5)*('Regular Clients'!$B$6:$B$30=$B$3)*('Regular Clients'!$D$6:$D$30&lt;=$A18)*('Regular Clients'!$E$6:$E$30&gt;$A18)*('Regular Clients'!$J$6:$J$30&lt;&gt;"Ended")*('Regular Clients'!$J$6:$J$30&lt;&gt;"Not started"))&gt;1,"CLASH",INDEX('Regular Clients'!$A$6:$A$30,SUMPRODUCT(MAX(('Regular Clients'!$C$6:$C$30=B$5)*('Regular Clients'!$B$6:$B$30=$B$3)*('Regular Clients'!$D$6:$D$30&lt;=$A18)*('Regular Clients'!$E$6:$E$30&gt;$A18)*('Regular Clients'!$J$6:$J$30&lt;&gt;"Ended")*('Regular Clients'!$J$6:$J$30&lt;&gt;"Not started")*(ROW('Regular Clients'!$A$6:$A$30)-ROW('Regular Clients'!$A$6)+1))))))</f>
        <v/>
      </c>
      <c r="C18" s="17" t="str">
        <f aca="false">IF(SUMPRODUCT(('Regular Clients'!$C$6:$C$30=C$5)*('Regular Clients'!$B$6:$B$30=$B$3)*('Regular Clients'!$D$6:$D$30&lt;=$A18)*('Regular Clients'!$E$6:$E$30&gt;$A18)*('Regular Clients'!$J$6:$J$30&lt;&gt;"Ended")*('Regular Clients'!$J$6:$J$30&lt;&gt;"Not started"))=0,"",IF(SUMPRODUCT(('Regular Clients'!$C$6:$C$30=C$5)*('Regular Clients'!$B$6:$B$30=$B$3)*('Regular Clients'!$D$6:$D$30&lt;=$A18)*('Regular Clients'!$E$6:$E$30&gt;$A18)*('Regular Clients'!$J$6:$J$30&lt;&gt;"Ended")*('Regular Clients'!$J$6:$J$30&lt;&gt;"Not started"))&gt;1,"CLASH",INDEX('Regular Clients'!$A$6:$A$30,SUMPRODUCT(MAX(('Regular Clients'!$C$6:$C$30=C$5)*('Regular Clients'!$B$6:$B$30=$B$3)*('Regular Clients'!$D$6:$D$30&lt;=$A18)*('Regular Clients'!$E$6:$E$30&gt;$A18)*('Regular Clients'!$J$6:$J$30&lt;&gt;"Ended")*('Regular Clients'!$J$6:$J$30&lt;&gt;"Not started")*(ROW('Regular Clients'!$A$6:$A$30)-ROW('Regular Clients'!$A$6)+1))))))</f>
        <v>Example Company</v>
      </c>
      <c r="D18" s="17" t="str">
        <f aca="false">IF(SUMPRODUCT(('Regular Clients'!$C$6:$C$30=D$5)*('Regular Clients'!$B$6:$B$30=$B$3)*('Regular Clients'!$D$6:$D$30&lt;=$A18)*('Regular Clients'!$E$6:$E$30&gt;$A18)*('Regular Clients'!$J$6:$J$30&lt;&gt;"Ended")*('Regular Clients'!$J$6:$J$30&lt;&gt;"Not started"))=0,"",IF(SUMPRODUCT(('Regular Clients'!$C$6:$C$30=D$5)*('Regular Clients'!$B$6:$B$30=$B$3)*('Regular Clients'!$D$6:$D$30&lt;=$A18)*('Regular Clients'!$E$6:$E$30&gt;$A18)*('Regular Clients'!$J$6:$J$30&lt;&gt;"Ended")*('Regular Clients'!$J$6:$J$30&lt;&gt;"Not started"))&gt;1,"CLASH",INDEX('Regular Clients'!$A$6:$A$30,SUMPRODUCT(MAX(('Regular Clients'!$C$6:$C$30=D$5)*('Regular Clients'!$B$6:$B$30=$B$3)*('Regular Clients'!$D$6:$D$30&lt;=$A18)*('Regular Clients'!$E$6:$E$30&gt;$A18)*('Regular Clients'!$J$6:$J$30&lt;&gt;"Ended")*('Regular Clients'!$J$6:$J$30&lt;&gt;"Not started")*(ROW('Regular Clients'!$A$6:$A$30)-ROW('Regular Clients'!$A$6)+1))))))</f>
        <v/>
      </c>
      <c r="E18" s="17" t="str">
        <f aca="false">IF(SUMPRODUCT(('Regular Clients'!$C$6:$C$30=E$5)*('Regular Clients'!$B$6:$B$30=$B$3)*('Regular Clients'!$D$6:$D$30&lt;=$A18)*('Regular Clients'!$E$6:$E$30&gt;$A18)*('Regular Clients'!$J$6:$J$30&lt;&gt;"Ended")*('Regular Clients'!$J$6:$J$30&lt;&gt;"Not started"))=0,"",IF(SUMPRODUCT(('Regular Clients'!$C$6:$C$30=E$5)*('Regular Clients'!$B$6:$B$30=$B$3)*('Regular Clients'!$D$6:$D$30&lt;=$A18)*('Regular Clients'!$E$6:$E$30&gt;$A18)*('Regular Clients'!$J$6:$J$30&lt;&gt;"Ended")*('Regular Clients'!$J$6:$J$30&lt;&gt;"Not started"))&gt;1,"CLASH",INDEX('Regular Clients'!$A$6:$A$30,SUMPRODUCT(MAX(('Regular Clients'!$C$6:$C$30=E$5)*('Regular Clients'!$B$6:$B$30=$B$3)*('Regular Clients'!$D$6:$D$30&lt;=$A18)*('Regular Clients'!$E$6:$E$30&gt;$A18)*('Regular Clients'!$J$6:$J$30&lt;&gt;"Ended")*('Regular Clients'!$J$6:$J$30&lt;&gt;"Not started")*(ROW('Regular Clients'!$A$6:$A$30)-ROW('Regular Clients'!$A$6)+1))))))</f>
        <v/>
      </c>
      <c r="F18" s="17" t="str">
        <f aca="false">IF(SUMPRODUCT(('Regular Clients'!$C$6:$C$30=F$5)*('Regular Clients'!$B$6:$B$30=$B$3)*('Regular Clients'!$D$6:$D$30&lt;=$A18)*('Regular Clients'!$E$6:$E$30&gt;$A18)*('Regular Clients'!$J$6:$J$30&lt;&gt;"Ended")*('Regular Clients'!$J$6:$J$30&lt;&gt;"Not started"))=0,"",IF(SUMPRODUCT(('Regular Clients'!$C$6:$C$30=F$5)*('Regular Clients'!$B$6:$B$30=$B$3)*('Regular Clients'!$D$6:$D$30&lt;=$A18)*('Regular Clients'!$E$6:$E$30&gt;$A18)*('Regular Clients'!$J$6:$J$30&lt;&gt;"Ended")*('Regular Clients'!$J$6:$J$30&lt;&gt;"Not started"))&gt;1,"CLASH",INDEX('Regular Clients'!$A$6:$A$30,SUMPRODUCT(MAX(('Regular Clients'!$C$6:$C$30=F$5)*('Regular Clients'!$B$6:$B$30=$B$3)*('Regular Clients'!$D$6:$D$30&lt;=$A18)*('Regular Clients'!$E$6:$E$30&gt;$A18)*('Regular Clients'!$J$6:$J$30&lt;&gt;"Ended")*('Regular Clients'!$J$6:$J$30&lt;&gt;"Not started")*(ROW('Regular Clients'!$A$6:$A$30)-ROW('Regular Clients'!$A$6)+1))))))</f>
        <v/>
      </c>
      <c r="G18" s="17" t="str">
        <f aca="false">IF(SUMPRODUCT(('Regular Clients'!$C$6:$C$30=G$5)*('Regular Clients'!$B$6:$B$30=$B$3)*('Regular Clients'!$D$6:$D$30&lt;=$A18)*('Regular Clients'!$E$6:$E$30&gt;$A18)*('Regular Clients'!$J$6:$J$30&lt;&gt;"Ended")*('Regular Clients'!$J$6:$J$30&lt;&gt;"Not started"))=0,"",IF(SUMPRODUCT(('Regular Clients'!$C$6:$C$30=G$5)*('Regular Clients'!$B$6:$B$30=$B$3)*('Regular Clients'!$D$6:$D$30&lt;=$A18)*('Regular Clients'!$E$6:$E$30&gt;$A18)*('Regular Clients'!$J$6:$J$30&lt;&gt;"Ended")*('Regular Clients'!$J$6:$J$30&lt;&gt;"Not started"))&gt;1,"CLASH",INDEX('Regular Clients'!$A$6:$A$30,SUMPRODUCT(MAX(('Regular Clients'!$C$6:$C$30=G$5)*('Regular Clients'!$B$6:$B$30=$B$3)*('Regular Clients'!$D$6:$D$30&lt;=$A18)*('Regular Clients'!$E$6:$E$30&gt;$A18)*('Regular Clients'!$J$6:$J$30&lt;&gt;"Ended")*('Regular Clients'!$J$6:$J$30&lt;&gt;"Not started")*(ROW('Regular Clients'!$A$6:$A$30)-ROW('Regular Clients'!$A$6)+1))))))</f>
        <v/>
      </c>
      <c r="H18" s="17" t="str">
        <f aca="false">IF(SUMPRODUCT(('Regular Clients'!$C$6:$C$30=H$5)*('Regular Clients'!$B$6:$B$30=$B$3)*('Regular Clients'!$D$6:$D$30&lt;=$A18)*('Regular Clients'!$E$6:$E$30&gt;$A18)*('Regular Clients'!$J$6:$J$30&lt;&gt;"Ended")*('Regular Clients'!$J$6:$J$30&lt;&gt;"Not started"))=0,"",IF(SUMPRODUCT(('Regular Clients'!$C$6:$C$30=H$5)*('Regular Clients'!$B$6:$B$30=$B$3)*('Regular Clients'!$D$6:$D$30&lt;=$A18)*('Regular Clients'!$E$6:$E$30&gt;$A18)*('Regular Clients'!$J$6:$J$30&lt;&gt;"Ended")*('Regular Clients'!$J$6:$J$30&lt;&gt;"Not started"))&gt;1,"CLASH",INDEX('Regular Clients'!$A$6:$A$30,SUMPRODUCT(MAX(('Regular Clients'!$C$6:$C$30=H$5)*('Regular Clients'!$B$6:$B$30=$B$3)*('Regular Clients'!$D$6:$D$30&lt;=$A18)*('Regular Clients'!$E$6:$E$30&gt;$A18)*('Regular Clients'!$J$6:$J$30&lt;&gt;"Ended")*('Regular Clients'!$J$6:$J$30&lt;&gt;"Not started")*(ROW('Regular Clients'!$A$6:$A$30)-ROW('Regular Clients'!$A$6)+1))))))</f>
        <v/>
      </c>
    </row>
    <row r="19" customFormat="false" ht="18" hidden="false" customHeight="true" outlineLevel="0" collapsed="false">
      <c r="A19" s="16" t="n">
        <v>0.833333333333333</v>
      </c>
      <c r="B19" s="17" t="str">
        <f aca="false">IF(SUMPRODUCT(('Regular Clients'!$C$6:$C$30=B$5)*('Regular Clients'!$B$6:$B$30=$B$3)*('Regular Clients'!$D$6:$D$30&lt;=$A19)*('Regular Clients'!$E$6:$E$30&gt;$A19)*('Regular Clients'!$J$6:$J$30&lt;&gt;"Ended")*('Regular Clients'!$J$6:$J$30&lt;&gt;"Not started"))=0,"",IF(SUMPRODUCT(('Regular Clients'!$C$6:$C$30=B$5)*('Regular Clients'!$B$6:$B$30=$B$3)*('Regular Clients'!$D$6:$D$30&lt;=$A19)*('Regular Clients'!$E$6:$E$30&gt;$A19)*('Regular Clients'!$J$6:$J$30&lt;&gt;"Ended")*('Regular Clients'!$J$6:$J$30&lt;&gt;"Not started"))&gt;1,"CLASH",INDEX('Regular Clients'!$A$6:$A$30,SUMPRODUCT(MAX(('Regular Clients'!$C$6:$C$30=B$5)*('Regular Clients'!$B$6:$B$30=$B$3)*('Regular Clients'!$D$6:$D$30&lt;=$A19)*('Regular Clients'!$E$6:$E$30&gt;$A19)*('Regular Clients'!$J$6:$J$30&lt;&gt;"Ended")*('Regular Clients'!$J$6:$J$30&lt;&gt;"Not started")*(ROW('Regular Clients'!$A$6:$A$30)-ROW('Regular Clients'!$A$6)+1))))))</f>
        <v/>
      </c>
      <c r="C19" s="17" t="str">
        <f aca="false">IF(SUMPRODUCT(('Regular Clients'!$C$6:$C$30=C$5)*('Regular Clients'!$B$6:$B$30=$B$3)*('Regular Clients'!$D$6:$D$30&lt;=$A19)*('Regular Clients'!$E$6:$E$30&gt;$A19)*('Regular Clients'!$J$6:$J$30&lt;&gt;"Ended")*('Regular Clients'!$J$6:$J$30&lt;&gt;"Not started"))=0,"",IF(SUMPRODUCT(('Regular Clients'!$C$6:$C$30=C$5)*('Regular Clients'!$B$6:$B$30=$B$3)*('Regular Clients'!$D$6:$D$30&lt;=$A19)*('Regular Clients'!$E$6:$E$30&gt;$A19)*('Regular Clients'!$J$6:$J$30&lt;&gt;"Ended")*('Regular Clients'!$J$6:$J$30&lt;&gt;"Not started"))&gt;1,"CLASH",INDEX('Regular Clients'!$A$6:$A$30,SUMPRODUCT(MAX(('Regular Clients'!$C$6:$C$30=C$5)*('Regular Clients'!$B$6:$B$30=$B$3)*('Regular Clients'!$D$6:$D$30&lt;=$A19)*('Regular Clients'!$E$6:$E$30&gt;$A19)*('Regular Clients'!$J$6:$J$30&lt;&gt;"Ended")*('Regular Clients'!$J$6:$J$30&lt;&gt;"Not started")*(ROW('Regular Clients'!$A$6:$A$30)-ROW('Regular Clients'!$A$6)+1))))))</f>
        <v>Example Company</v>
      </c>
      <c r="D19" s="17" t="str">
        <f aca="false">IF(SUMPRODUCT(('Regular Clients'!$C$6:$C$30=D$5)*('Regular Clients'!$B$6:$B$30=$B$3)*('Regular Clients'!$D$6:$D$30&lt;=$A19)*('Regular Clients'!$E$6:$E$30&gt;$A19)*('Regular Clients'!$J$6:$J$30&lt;&gt;"Ended")*('Regular Clients'!$J$6:$J$30&lt;&gt;"Not started"))=0,"",IF(SUMPRODUCT(('Regular Clients'!$C$6:$C$30=D$5)*('Regular Clients'!$B$6:$B$30=$B$3)*('Regular Clients'!$D$6:$D$30&lt;=$A19)*('Regular Clients'!$E$6:$E$30&gt;$A19)*('Regular Clients'!$J$6:$J$30&lt;&gt;"Ended")*('Regular Clients'!$J$6:$J$30&lt;&gt;"Not started"))&gt;1,"CLASH",INDEX('Regular Clients'!$A$6:$A$30,SUMPRODUCT(MAX(('Regular Clients'!$C$6:$C$30=D$5)*('Regular Clients'!$B$6:$B$30=$B$3)*('Regular Clients'!$D$6:$D$30&lt;=$A19)*('Regular Clients'!$E$6:$E$30&gt;$A19)*('Regular Clients'!$J$6:$J$30&lt;&gt;"Ended")*('Regular Clients'!$J$6:$J$30&lt;&gt;"Not started")*(ROW('Regular Clients'!$A$6:$A$30)-ROW('Regular Clients'!$A$6)+1))))))</f>
        <v/>
      </c>
      <c r="E19" s="17" t="str">
        <f aca="false">IF(SUMPRODUCT(('Regular Clients'!$C$6:$C$30=E$5)*('Regular Clients'!$B$6:$B$30=$B$3)*('Regular Clients'!$D$6:$D$30&lt;=$A19)*('Regular Clients'!$E$6:$E$30&gt;$A19)*('Regular Clients'!$J$6:$J$30&lt;&gt;"Ended")*('Regular Clients'!$J$6:$J$30&lt;&gt;"Not started"))=0,"",IF(SUMPRODUCT(('Regular Clients'!$C$6:$C$30=E$5)*('Regular Clients'!$B$6:$B$30=$B$3)*('Regular Clients'!$D$6:$D$30&lt;=$A19)*('Regular Clients'!$E$6:$E$30&gt;$A19)*('Regular Clients'!$J$6:$J$30&lt;&gt;"Ended")*('Regular Clients'!$J$6:$J$30&lt;&gt;"Not started"))&gt;1,"CLASH",INDEX('Regular Clients'!$A$6:$A$30,SUMPRODUCT(MAX(('Regular Clients'!$C$6:$C$30=E$5)*('Regular Clients'!$B$6:$B$30=$B$3)*('Regular Clients'!$D$6:$D$30&lt;=$A19)*('Regular Clients'!$E$6:$E$30&gt;$A19)*('Regular Clients'!$J$6:$J$30&lt;&gt;"Ended")*('Regular Clients'!$J$6:$J$30&lt;&gt;"Not started")*(ROW('Regular Clients'!$A$6:$A$30)-ROW('Regular Clients'!$A$6)+1))))))</f>
        <v/>
      </c>
      <c r="F19" s="17" t="str">
        <f aca="false">IF(SUMPRODUCT(('Regular Clients'!$C$6:$C$30=F$5)*('Regular Clients'!$B$6:$B$30=$B$3)*('Regular Clients'!$D$6:$D$30&lt;=$A19)*('Regular Clients'!$E$6:$E$30&gt;$A19)*('Regular Clients'!$J$6:$J$30&lt;&gt;"Ended")*('Regular Clients'!$J$6:$J$30&lt;&gt;"Not started"))=0,"",IF(SUMPRODUCT(('Regular Clients'!$C$6:$C$30=F$5)*('Regular Clients'!$B$6:$B$30=$B$3)*('Regular Clients'!$D$6:$D$30&lt;=$A19)*('Regular Clients'!$E$6:$E$30&gt;$A19)*('Regular Clients'!$J$6:$J$30&lt;&gt;"Ended")*('Regular Clients'!$J$6:$J$30&lt;&gt;"Not started"))&gt;1,"CLASH",INDEX('Regular Clients'!$A$6:$A$30,SUMPRODUCT(MAX(('Regular Clients'!$C$6:$C$30=F$5)*('Regular Clients'!$B$6:$B$30=$B$3)*('Regular Clients'!$D$6:$D$30&lt;=$A19)*('Regular Clients'!$E$6:$E$30&gt;$A19)*('Regular Clients'!$J$6:$J$30&lt;&gt;"Ended")*('Regular Clients'!$J$6:$J$30&lt;&gt;"Not started")*(ROW('Regular Clients'!$A$6:$A$30)-ROW('Regular Clients'!$A$6)+1))))))</f>
        <v/>
      </c>
      <c r="G19" s="17" t="str">
        <f aca="false">IF(SUMPRODUCT(('Regular Clients'!$C$6:$C$30=G$5)*('Regular Clients'!$B$6:$B$30=$B$3)*('Regular Clients'!$D$6:$D$30&lt;=$A19)*('Regular Clients'!$E$6:$E$30&gt;$A19)*('Regular Clients'!$J$6:$J$30&lt;&gt;"Ended")*('Regular Clients'!$J$6:$J$30&lt;&gt;"Not started"))=0,"",IF(SUMPRODUCT(('Regular Clients'!$C$6:$C$30=G$5)*('Regular Clients'!$B$6:$B$30=$B$3)*('Regular Clients'!$D$6:$D$30&lt;=$A19)*('Regular Clients'!$E$6:$E$30&gt;$A19)*('Regular Clients'!$J$6:$J$30&lt;&gt;"Ended")*('Regular Clients'!$J$6:$J$30&lt;&gt;"Not started"))&gt;1,"CLASH",INDEX('Regular Clients'!$A$6:$A$30,SUMPRODUCT(MAX(('Regular Clients'!$C$6:$C$30=G$5)*('Regular Clients'!$B$6:$B$30=$B$3)*('Regular Clients'!$D$6:$D$30&lt;=$A19)*('Regular Clients'!$E$6:$E$30&gt;$A19)*('Regular Clients'!$J$6:$J$30&lt;&gt;"Ended")*('Regular Clients'!$J$6:$J$30&lt;&gt;"Not started")*(ROW('Regular Clients'!$A$6:$A$30)-ROW('Regular Clients'!$A$6)+1))))))</f>
        <v/>
      </c>
      <c r="H19" s="17" t="str">
        <f aca="false">IF(SUMPRODUCT(('Regular Clients'!$C$6:$C$30=H$5)*('Regular Clients'!$B$6:$B$30=$B$3)*('Regular Clients'!$D$6:$D$30&lt;=$A19)*('Regular Clients'!$E$6:$E$30&gt;$A19)*('Regular Clients'!$J$6:$J$30&lt;&gt;"Ended")*('Regular Clients'!$J$6:$J$30&lt;&gt;"Not started"))=0,"",IF(SUMPRODUCT(('Regular Clients'!$C$6:$C$30=H$5)*('Regular Clients'!$B$6:$B$30=$B$3)*('Regular Clients'!$D$6:$D$30&lt;=$A19)*('Regular Clients'!$E$6:$E$30&gt;$A19)*('Regular Clients'!$J$6:$J$30&lt;&gt;"Ended")*('Regular Clients'!$J$6:$J$30&lt;&gt;"Not started"))&gt;1,"CLASH",INDEX('Regular Clients'!$A$6:$A$30,SUMPRODUCT(MAX(('Regular Clients'!$C$6:$C$30=H$5)*('Regular Clients'!$B$6:$B$30=$B$3)*('Regular Clients'!$D$6:$D$30&lt;=$A19)*('Regular Clients'!$E$6:$E$30&gt;$A19)*('Regular Clients'!$J$6:$J$30&lt;&gt;"Ended")*('Regular Clients'!$J$6:$J$30&lt;&gt;"Not started")*(ROW('Regular Clients'!$A$6:$A$30)-ROW('Regular Clients'!$A$6)+1))))))</f>
        <v/>
      </c>
    </row>
    <row r="20" customFormat="false" ht="18" hidden="false" customHeight="true" outlineLevel="0" collapsed="false">
      <c r="A20" s="16" t="n">
        <v>0.875</v>
      </c>
      <c r="B20" s="17" t="str">
        <f aca="false">IF(SUMPRODUCT(('Regular Clients'!$C$6:$C$30=B$5)*('Regular Clients'!$B$6:$B$30=$B$3)*('Regular Clients'!$D$6:$D$30&lt;=$A20)*('Regular Clients'!$E$6:$E$30&gt;$A20)*('Regular Clients'!$J$6:$J$30&lt;&gt;"Ended")*('Regular Clients'!$J$6:$J$30&lt;&gt;"Not started"))=0,"",IF(SUMPRODUCT(('Regular Clients'!$C$6:$C$30=B$5)*('Regular Clients'!$B$6:$B$30=$B$3)*('Regular Clients'!$D$6:$D$30&lt;=$A20)*('Regular Clients'!$E$6:$E$30&gt;$A20)*('Regular Clients'!$J$6:$J$30&lt;&gt;"Ended")*('Regular Clients'!$J$6:$J$30&lt;&gt;"Not started"))&gt;1,"CLASH",INDEX('Regular Clients'!$A$6:$A$30,SUMPRODUCT(MAX(('Regular Clients'!$C$6:$C$30=B$5)*('Regular Clients'!$B$6:$B$30=$B$3)*('Regular Clients'!$D$6:$D$30&lt;=$A20)*('Regular Clients'!$E$6:$E$30&gt;$A20)*('Regular Clients'!$J$6:$J$30&lt;&gt;"Ended")*('Regular Clients'!$J$6:$J$30&lt;&gt;"Not started")*(ROW('Regular Clients'!$A$6:$A$30)-ROW('Regular Clients'!$A$6)+1))))))</f>
        <v/>
      </c>
      <c r="C20" s="17" t="str">
        <f aca="false">IF(SUMPRODUCT(('Regular Clients'!$C$6:$C$30=C$5)*('Regular Clients'!$B$6:$B$30=$B$3)*('Regular Clients'!$D$6:$D$30&lt;=$A20)*('Regular Clients'!$E$6:$E$30&gt;$A20)*('Regular Clients'!$J$6:$J$30&lt;&gt;"Ended")*('Regular Clients'!$J$6:$J$30&lt;&gt;"Not started"))=0,"",IF(SUMPRODUCT(('Regular Clients'!$C$6:$C$30=C$5)*('Regular Clients'!$B$6:$B$30=$B$3)*('Regular Clients'!$D$6:$D$30&lt;=$A20)*('Regular Clients'!$E$6:$E$30&gt;$A20)*('Regular Clients'!$J$6:$J$30&lt;&gt;"Ended")*('Regular Clients'!$J$6:$J$30&lt;&gt;"Not started"))&gt;1,"CLASH",INDEX('Regular Clients'!$A$6:$A$30,SUMPRODUCT(MAX(('Regular Clients'!$C$6:$C$30=C$5)*('Regular Clients'!$B$6:$B$30=$B$3)*('Regular Clients'!$D$6:$D$30&lt;=$A20)*('Regular Clients'!$E$6:$E$30&gt;$A20)*('Regular Clients'!$J$6:$J$30&lt;&gt;"Ended")*('Regular Clients'!$J$6:$J$30&lt;&gt;"Not started")*(ROW('Regular Clients'!$A$6:$A$30)-ROW('Regular Clients'!$A$6)+1))))))</f>
        <v/>
      </c>
      <c r="D20" s="17" t="str">
        <f aca="false">IF(SUMPRODUCT(('Regular Clients'!$C$6:$C$30=D$5)*('Regular Clients'!$B$6:$B$30=$B$3)*('Regular Clients'!$D$6:$D$30&lt;=$A20)*('Regular Clients'!$E$6:$E$30&gt;$A20)*('Regular Clients'!$J$6:$J$30&lt;&gt;"Ended")*('Regular Clients'!$J$6:$J$30&lt;&gt;"Not started"))=0,"",IF(SUMPRODUCT(('Regular Clients'!$C$6:$C$30=D$5)*('Regular Clients'!$B$6:$B$30=$B$3)*('Regular Clients'!$D$6:$D$30&lt;=$A20)*('Regular Clients'!$E$6:$E$30&gt;$A20)*('Regular Clients'!$J$6:$J$30&lt;&gt;"Ended")*('Regular Clients'!$J$6:$J$30&lt;&gt;"Not started"))&gt;1,"CLASH",INDEX('Regular Clients'!$A$6:$A$30,SUMPRODUCT(MAX(('Regular Clients'!$C$6:$C$30=D$5)*('Regular Clients'!$B$6:$B$30=$B$3)*('Regular Clients'!$D$6:$D$30&lt;=$A20)*('Regular Clients'!$E$6:$E$30&gt;$A20)*('Regular Clients'!$J$6:$J$30&lt;&gt;"Ended")*('Regular Clients'!$J$6:$J$30&lt;&gt;"Not started")*(ROW('Regular Clients'!$A$6:$A$30)-ROW('Regular Clients'!$A$6)+1))))))</f>
        <v/>
      </c>
      <c r="E20" s="17" t="str">
        <f aca="false">IF(SUMPRODUCT(('Regular Clients'!$C$6:$C$30=E$5)*('Regular Clients'!$B$6:$B$30=$B$3)*('Regular Clients'!$D$6:$D$30&lt;=$A20)*('Regular Clients'!$E$6:$E$30&gt;$A20)*('Regular Clients'!$J$6:$J$30&lt;&gt;"Ended")*('Regular Clients'!$J$6:$J$30&lt;&gt;"Not started"))=0,"",IF(SUMPRODUCT(('Regular Clients'!$C$6:$C$30=E$5)*('Regular Clients'!$B$6:$B$30=$B$3)*('Regular Clients'!$D$6:$D$30&lt;=$A20)*('Regular Clients'!$E$6:$E$30&gt;$A20)*('Regular Clients'!$J$6:$J$30&lt;&gt;"Ended")*('Regular Clients'!$J$6:$J$30&lt;&gt;"Not started"))&gt;1,"CLASH",INDEX('Regular Clients'!$A$6:$A$30,SUMPRODUCT(MAX(('Regular Clients'!$C$6:$C$30=E$5)*('Regular Clients'!$B$6:$B$30=$B$3)*('Regular Clients'!$D$6:$D$30&lt;=$A20)*('Regular Clients'!$E$6:$E$30&gt;$A20)*('Regular Clients'!$J$6:$J$30&lt;&gt;"Ended")*('Regular Clients'!$J$6:$J$30&lt;&gt;"Not started")*(ROW('Regular Clients'!$A$6:$A$30)-ROW('Regular Clients'!$A$6)+1))))))</f>
        <v/>
      </c>
      <c r="F20" s="17" t="str">
        <f aca="false">IF(SUMPRODUCT(('Regular Clients'!$C$6:$C$30=F$5)*('Regular Clients'!$B$6:$B$30=$B$3)*('Regular Clients'!$D$6:$D$30&lt;=$A20)*('Regular Clients'!$E$6:$E$30&gt;$A20)*('Regular Clients'!$J$6:$J$30&lt;&gt;"Ended")*('Regular Clients'!$J$6:$J$30&lt;&gt;"Not started"))=0,"",IF(SUMPRODUCT(('Regular Clients'!$C$6:$C$30=F$5)*('Regular Clients'!$B$6:$B$30=$B$3)*('Regular Clients'!$D$6:$D$30&lt;=$A20)*('Regular Clients'!$E$6:$E$30&gt;$A20)*('Regular Clients'!$J$6:$J$30&lt;&gt;"Ended")*('Regular Clients'!$J$6:$J$30&lt;&gt;"Not started"))&gt;1,"CLASH",INDEX('Regular Clients'!$A$6:$A$30,SUMPRODUCT(MAX(('Regular Clients'!$C$6:$C$30=F$5)*('Regular Clients'!$B$6:$B$30=$B$3)*('Regular Clients'!$D$6:$D$30&lt;=$A20)*('Regular Clients'!$E$6:$E$30&gt;$A20)*('Regular Clients'!$J$6:$J$30&lt;&gt;"Ended")*('Regular Clients'!$J$6:$J$30&lt;&gt;"Not started")*(ROW('Regular Clients'!$A$6:$A$30)-ROW('Regular Clients'!$A$6)+1))))))</f>
        <v/>
      </c>
      <c r="G20" s="17" t="str">
        <f aca="false">IF(SUMPRODUCT(('Regular Clients'!$C$6:$C$30=G$5)*('Regular Clients'!$B$6:$B$30=$B$3)*('Regular Clients'!$D$6:$D$30&lt;=$A20)*('Regular Clients'!$E$6:$E$30&gt;$A20)*('Regular Clients'!$J$6:$J$30&lt;&gt;"Ended")*('Regular Clients'!$J$6:$J$30&lt;&gt;"Not started"))=0,"",IF(SUMPRODUCT(('Regular Clients'!$C$6:$C$30=G$5)*('Regular Clients'!$B$6:$B$30=$B$3)*('Regular Clients'!$D$6:$D$30&lt;=$A20)*('Regular Clients'!$E$6:$E$30&gt;$A20)*('Regular Clients'!$J$6:$J$30&lt;&gt;"Ended")*('Regular Clients'!$J$6:$J$30&lt;&gt;"Not started"))&gt;1,"CLASH",INDEX('Regular Clients'!$A$6:$A$30,SUMPRODUCT(MAX(('Regular Clients'!$C$6:$C$30=G$5)*('Regular Clients'!$B$6:$B$30=$B$3)*('Regular Clients'!$D$6:$D$30&lt;=$A20)*('Regular Clients'!$E$6:$E$30&gt;$A20)*('Regular Clients'!$J$6:$J$30&lt;&gt;"Ended")*('Regular Clients'!$J$6:$J$30&lt;&gt;"Not started")*(ROW('Regular Clients'!$A$6:$A$30)-ROW('Regular Clients'!$A$6)+1))))))</f>
        <v/>
      </c>
      <c r="H20" s="17" t="str">
        <f aca="false">IF(SUMPRODUCT(('Regular Clients'!$C$6:$C$30=H$5)*('Regular Clients'!$B$6:$B$30=$B$3)*('Regular Clients'!$D$6:$D$30&lt;=$A20)*('Regular Clients'!$E$6:$E$30&gt;$A20)*('Regular Clients'!$J$6:$J$30&lt;&gt;"Ended")*('Regular Clients'!$J$6:$J$30&lt;&gt;"Not started"))=0,"",IF(SUMPRODUCT(('Regular Clients'!$C$6:$C$30=H$5)*('Regular Clients'!$B$6:$B$30=$B$3)*('Regular Clients'!$D$6:$D$30&lt;=$A20)*('Regular Clients'!$E$6:$E$30&gt;$A20)*('Regular Clients'!$J$6:$J$30&lt;&gt;"Ended")*('Regular Clients'!$J$6:$J$30&lt;&gt;"Not started"))&gt;1,"CLASH",INDEX('Regular Clients'!$A$6:$A$30,SUMPRODUCT(MAX(('Regular Clients'!$C$6:$C$30=H$5)*('Regular Clients'!$B$6:$B$30=$B$3)*('Regular Clients'!$D$6:$D$30&lt;=$A20)*('Regular Clients'!$E$6:$E$30&gt;$A20)*('Regular Clients'!$J$6:$J$30&lt;&gt;"Ended")*('Regular Clients'!$J$6:$J$30&lt;&gt;"Not started")*(ROW('Regular Clients'!$A$6:$A$30)-ROW('Regular Clients'!$A$6)+1))))))</f>
        <v/>
      </c>
    </row>
    <row r="21" customFormat="false" ht="18" hidden="false" customHeight="true" outlineLevel="0" collapsed="false">
      <c r="A21" s="16" t="n">
        <v>0.916666666666667</v>
      </c>
      <c r="B21" s="17" t="str">
        <f aca="false">IF(SUMPRODUCT(('Regular Clients'!$C$6:$C$30=B$5)*('Regular Clients'!$B$6:$B$30=$B$3)*('Regular Clients'!$D$6:$D$30&lt;=$A21)*('Regular Clients'!$E$6:$E$30&gt;$A21)*('Regular Clients'!$J$6:$J$30&lt;&gt;"Ended")*('Regular Clients'!$J$6:$J$30&lt;&gt;"Not started"))=0,"",IF(SUMPRODUCT(('Regular Clients'!$C$6:$C$30=B$5)*('Regular Clients'!$B$6:$B$30=$B$3)*('Regular Clients'!$D$6:$D$30&lt;=$A21)*('Regular Clients'!$E$6:$E$30&gt;$A21)*('Regular Clients'!$J$6:$J$30&lt;&gt;"Ended")*('Regular Clients'!$J$6:$J$30&lt;&gt;"Not started"))&gt;1,"CLASH",INDEX('Regular Clients'!$A$6:$A$30,SUMPRODUCT(MAX(('Regular Clients'!$C$6:$C$30=B$5)*('Regular Clients'!$B$6:$B$30=$B$3)*('Regular Clients'!$D$6:$D$30&lt;=$A21)*('Regular Clients'!$E$6:$E$30&gt;$A21)*('Regular Clients'!$J$6:$J$30&lt;&gt;"Ended")*('Regular Clients'!$J$6:$J$30&lt;&gt;"Not started")*(ROW('Regular Clients'!$A$6:$A$30)-ROW('Regular Clients'!$A$6)+1))))))</f>
        <v/>
      </c>
      <c r="C21" s="17" t="str">
        <f aca="false">IF(SUMPRODUCT(('Regular Clients'!$C$6:$C$30=C$5)*('Regular Clients'!$B$6:$B$30=$B$3)*('Regular Clients'!$D$6:$D$30&lt;=$A21)*('Regular Clients'!$E$6:$E$30&gt;$A21)*('Regular Clients'!$J$6:$J$30&lt;&gt;"Ended")*('Regular Clients'!$J$6:$J$30&lt;&gt;"Not started"))=0,"",IF(SUMPRODUCT(('Regular Clients'!$C$6:$C$30=C$5)*('Regular Clients'!$B$6:$B$30=$B$3)*('Regular Clients'!$D$6:$D$30&lt;=$A21)*('Regular Clients'!$E$6:$E$30&gt;$A21)*('Regular Clients'!$J$6:$J$30&lt;&gt;"Ended")*('Regular Clients'!$J$6:$J$30&lt;&gt;"Not started"))&gt;1,"CLASH",INDEX('Regular Clients'!$A$6:$A$30,SUMPRODUCT(MAX(('Regular Clients'!$C$6:$C$30=C$5)*('Regular Clients'!$B$6:$B$30=$B$3)*('Regular Clients'!$D$6:$D$30&lt;=$A21)*('Regular Clients'!$E$6:$E$30&gt;$A21)*('Regular Clients'!$J$6:$J$30&lt;&gt;"Ended")*('Regular Clients'!$J$6:$J$30&lt;&gt;"Not started")*(ROW('Regular Clients'!$A$6:$A$30)-ROW('Regular Clients'!$A$6)+1))))))</f>
        <v/>
      </c>
      <c r="D21" s="17" t="str">
        <f aca="false">IF(SUMPRODUCT(('Regular Clients'!$C$6:$C$30=D$5)*('Regular Clients'!$B$6:$B$30=$B$3)*('Regular Clients'!$D$6:$D$30&lt;=$A21)*('Regular Clients'!$E$6:$E$30&gt;$A21)*('Regular Clients'!$J$6:$J$30&lt;&gt;"Ended")*('Regular Clients'!$J$6:$J$30&lt;&gt;"Not started"))=0,"",IF(SUMPRODUCT(('Regular Clients'!$C$6:$C$30=D$5)*('Regular Clients'!$B$6:$B$30=$B$3)*('Regular Clients'!$D$6:$D$30&lt;=$A21)*('Regular Clients'!$E$6:$E$30&gt;$A21)*('Regular Clients'!$J$6:$J$30&lt;&gt;"Ended")*('Regular Clients'!$J$6:$J$30&lt;&gt;"Not started"))&gt;1,"CLASH",INDEX('Regular Clients'!$A$6:$A$30,SUMPRODUCT(MAX(('Regular Clients'!$C$6:$C$30=D$5)*('Regular Clients'!$B$6:$B$30=$B$3)*('Regular Clients'!$D$6:$D$30&lt;=$A21)*('Regular Clients'!$E$6:$E$30&gt;$A21)*('Regular Clients'!$J$6:$J$30&lt;&gt;"Ended")*('Regular Clients'!$J$6:$J$30&lt;&gt;"Not started")*(ROW('Regular Clients'!$A$6:$A$30)-ROW('Regular Clients'!$A$6)+1))))))</f>
        <v/>
      </c>
      <c r="E21" s="17" t="str">
        <f aca="false">IF(SUMPRODUCT(('Regular Clients'!$C$6:$C$30=E$5)*('Regular Clients'!$B$6:$B$30=$B$3)*('Regular Clients'!$D$6:$D$30&lt;=$A21)*('Regular Clients'!$E$6:$E$30&gt;$A21)*('Regular Clients'!$J$6:$J$30&lt;&gt;"Ended")*('Regular Clients'!$J$6:$J$30&lt;&gt;"Not started"))=0,"",IF(SUMPRODUCT(('Regular Clients'!$C$6:$C$30=E$5)*('Regular Clients'!$B$6:$B$30=$B$3)*('Regular Clients'!$D$6:$D$30&lt;=$A21)*('Regular Clients'!$E$6:$E$30&gt;$A21)*('Regular Clients'!$J$6:$J$30&lt;&gt;"Ended")*('Regular Clients'!$J$6:$J$30&lt;&gt;"Not started"))&gt;1,"CLASH",INDEX('Regular Clients'!$A$6:$A$30,SUMPRODUCT(MAX(('Regular Clients'!$C$6:$C$30=E$5)*('Regular Clients'!$B$6:$B$30=$B$3)*('Regular Clients'!$D$6:$D$30&lt;=$A21)*('Regular Clients'!$E$6:$E$30&gt;$A21)*('Regular Clients'!$J$6:$J$30&lt;&gt;"Ended")*('Regular Clients'!$J$6:$J$30&lt;&gt;"Not started")*(ROW('Regular Clients'!$A$6:$A$30)-ROW('Regular Clients'!$A$6)+1))))))</f>
        <v/>
      </c>
      <c r="F21" s="17" t="str">
        <f aca="false">IF(SUMPRODUCT(('Regular Clients'!$C$6:$C$30=F$5)*('Regular Clients'!$B$6:$B$30=$B$3)*('Regular Clients'!$D$6:$D$30&lt;=$A21)*('Regular Clients'!$E$6:$E$30&gt;$A21)*('Regular Clients'!$J$6:$J$30&lt;&gt;"Ended")*('Regular Clients'!$J$6:$J$30&lt;&gt;"Not started"))=0,"",IF(SUMPRODUCT(('Regular Clients'!$C$6:$C$30=F$5)*('Regular Clients'!$B$6:$B$30=$B$3)*('Regular Clients'!$D$6:$D$30&lt;=$A21)*('Regular Clients'!$E$6:$E$30&gt;$A21)*('Regular Clients'!$J$6:$J$30&lt;&gt;"Ended")*('Regular Clients'!$J$6:$J$30&lt;&gt;"Not started"))&gt;1,"CLASH",INDEX('Regular Clients'!$A$6:$A$30,SUMPRODUCT(MAX(('Regular Clients'!$C$6:$C$30=F$5)*('Regular Clients'!$B$6:$B$30=$B$3)*('Regular Clients'!$D$6:$D$30&lt;=$A21)*('Regular Clients'!$E$6:$E$30&gt;$A21)*('Regular Clients'!$J$6:$J$30&lt;&gt;"Ended")*('Regular Clients'!$J$6:$J$30&lt;&gt;"Not started")*(ROW('Regular Clients'!$A$6:$A$30)-ROW('Regular Clients'!$A$6)+1))))))</f>
        <v/>
      </c>
      <c r="G21" s="17" t="str">
        <f aca="false">IF(SUMPRODUCT(('Regular Clients'!$C$6:$C$30=G$5)*('Regular Clients'!$B$6:$B$30=$B$3)*('Regular Clients'!$D$6:$D$30&lt;=$A21)*('Regular Clients'!$E$6:$E$30&gt;$A21)*('Regular Clients'!$J$6:$J$30&lt;&gt;"Ended")*('Regular Clients'!$J$6:$J$30&lt;&gt;"Not started"))=0,"",IF(SUMPRODUCT(('Regular Clients'!$C$6:$C$30=G$5)*('Regular Clients'!$B$6:$B$30=$B$3)*('Regular Clients'!$D$6:$D$30&lt;=$A21)*('Regular Clients'!$E$6:$E$30&gt;$A21)*('Regular Clients'!$J$6:$J$30&lt;&gt;"Ended")*('Regular Clients'!$J$6:$J$30&lt;&gt;"Not started"))&gt;1,"CLASH",INDEX('Regular Clients'!$A$6:$A$30,SUMPRODUCT(MAX(('Regular Clients'!$C$6:$C$30=G$5)*('Regular Clients'!$B$6:$B$30=$B$3)*('Regular Clients'!$D$6:$D$30&lt;=$A21)*('Regular Clients'!$E$6:$E$30&gt;$A21)*('Regular Clients'!$J$6:$J$30&lt;&gt;"Ended")*('Regular Clients'!$J$6:$J$30&lt;&gt;"Not started")*(ROW('Regular Clients'!$A$6:$A$30)-ROW('Regular Clients'!$A$6)+1))))))</f>
        <v/>
      </c>
      <c r="H21" s="17" t="str">
        <f aca="false">IF(SUMPRODUCT(('Regular Clients'!$C$6:$C$30=H$5)*('Regular Clients'!$B$6:$B$30=$B$3)*('Regular Clients'!$D$6:$D$30&lt;=$A21)*('Regular Clients'!$E$6:$E$30&gt;$A21)*('Regular Clients'!$J$6:$J$30&lt;&gt;"Ended")*('Regular Clients'!$J$6:$J$30&lt;&gt;"Not started"))=0,"",IF(SUMPRODUCT(('Regular Clients'!$C$6:$C$30=H$5)*('Regular Clients'!$B$6:$B$30=$B$3)*('Regular Clients'!$D$6:$D$30&lt;=$A21)*('Regular Clients'!$E$6:$E$30&gt;$A21)*('Regular Clients'!$J$6:$J$30&lt;&gt;"Ended")*('Regular Clients'!$J$6:$J$30&lt;&gt;"Not started"))&gt;1,"CLASH",INDEX('Regular Clients'!$A$6:$A$30,SUMPRODUCT(MAX(('Regular Clients'!$C$6:$C$30=H$5)*('Regular Clients'!$B$6:$B$30=$B$3)*('Regular Clients'!$D$6:$D$30&lt;=$A21)*('Regular Clients'!$E$6:$E$30&gt;$A21)*('Regular Clients'!$J$6:$J$30&lt;&gt;"Ended")*('Regular Clients'!$J$6:$J$30&lt;&gt;"Not started")*(ROW('Regular Clients'!$A$6:$A$30)-ROW('Regular Clients'!$A$6)+1))))))</f>
        <v/>
      </c>
    </row>
    <row r="22" customFormat="false" ht="18" hidden="false" customHeight="true" outlineLevel="0" collapsed="false">
      <c r="A22" s="16" t="n">
        <v>0.958333333333333</v>
      </c>
      <c r="B22" s="17" t="str">
        <f aca="false">IF(SUMPRODUCT(('Regular Clients'!$C$6:$C$30=B$5)*('Regular Clients'!$B$6:$B$30=$B$3)*('Regular Clients'!$D$6:$D$30&lt;=$A22)*('Regular Clients'!$E$6:$E$30&gt;$A22)*('Regular Clients'!$J$6:$J$30&lt;&gt;"Ended")*('Regular Clients'!$J$6:$J$30&lt;&gt;"Not started"))=0,"",IF(SUMPRODUCT(('Regular Clients'!$C$6:$C$30=B$5)*('Regular Clients'!$B$6:$B$30=$B$3)*('Regular Clients'!$D$6:$D$30&lt;=$A22)*('Regular Clients'!$E$6:$E$30&gt;$A22)*('Regular Clients'!$J$6:$J$30&lt;&gt;"Ended")*('Regular Clients'!$J$6:$J$30&lt;&gt;"Not started"))&gt;1,"CLASH",INDEX('Regular Clients'!$A$6:$A$30,SUMPRODUCT(MAX(('Regular Clients'!$C$6:$C$30=B$5)*('Regular Clients'!$B$6:$B$30=$B$3)*('Regular Clients'!$D$6:$D$30&lt;=$A22)*('Regular Clients'!$E$6:$E$30&gt;$A22)*('Regular Clients'!$J$6:$J$30&lt;&gt;"Ended")*('Regular Clients'!$J$6:$J$30&lt;&gt;"Not started")*(ROW('Regular Clients'!$A$6:$A$30)-ROW('Regular Clients'!$A$6)+1))))))</f>
        <v/>
      </c>
      <c r="C22" s="17" t="str">
        <f aca="false">IF(SUMPRODUCT(('Regular Clients'!$C$6:$C$30=C$5)*('Regular Clients'!$B$6:$B$30=$B$3)*('Regular Clients'!$D$6:$D$30&lt;=$A22)*('Regular Clients'!$E$6:$E$30&gt;$A22)*('Regular Clients'!$J$6:$J$30&lt;&gt;"Ended")*('Regular Clients'!$J$6:$J$30&lt;&gt;"Not started"))=0,"",IF(SUMPRODUCT(('Regular Clients'!$C$6:$C$30=C$5)*('Regular Clients'!$B$6:$B$30=$B$3)*('Regular Clients'!$D$6:$D$30&lt;=$A22)*('Regular Clients'!$E$6:$E$30&gt;$A22)*('Regular Clients'!$J$6:$J$30&lt;&gt;"Ended")*('Regular Clients'!$J$6:$J$30&lt;&gt;"Not started"))&gt;1,"CLASH",INDEX('Regular Clients'!$A$6:$A$30,SUMPRODUCT(MAX(('Regular Clients'!$C$6:$C$30=C$5)*('Regular Clients'!$B$6:$B$30=$B$3)*('Regular Clients'!$D$6:$D$30&lt;=$A22)*('Regular Clients'!$E$6:$E$30&gt;$A22)*('Regular Clients'!$J$6:$J$30&lt;&gt;"Ended")*('Regular Clients'!$J$6:$J$30&lt;&gt;"Not started")*(ROW('Regular Clients'!$A$6:$A$30)-ROW('Regular Clients'!$A$6)+1))))))</f>
        <v/>
      </c>
      <c r="D22" s="17" t="str">
        <f aca="false">IF(SUMPRODUCT(('Regular Clients'!$C$6:$C$30=D$5)*('Regular Clients'!$B$6:$B$30=$B$3)*('Regular Clients'!$D$6:$D$30&lt;=$A22)*('Regular Clients'!$E$6:$E$30&gt;$A22)*('Regular Clients'!$J$6:$J$30&lt;&gt;"Ended")*('Regular Clients'!$J$6:$J$30&lt;&gt;"Not started"))=0,"",IF(SUMPRODUCT(('Regular Clients'!$C$6:$C$30=D$5)*('Regular Clients'!$B$6:$B$30=$B$3)*('Regular Clients'!$D$6:$D$30&lt;=$A22)*('Regular Clients'!$E$6:$E$30&gt;$A22)*('Regular Clients'!$J$6:$J$30&lt;&gt;"Ended")*('Regular Clients'!$J$6:$J$30&lt;&gt;"Not started"))&gt;1,"CLASH",INDEX('Regular Clients'!$A$6:$A$30,SUMPRODUCT(MAX(('Regular Clients'!$C$6:$C$30=D$5)*('Regular Clients'!$B$6:$B$30=$B$3)*('Regular Clients'!$D$6:$D$30&lt;=$A22)*('Regular Clients'!$E$6:$E$30&gt;$A22)*('Regular Clients'!$J$6:$J$30&lt;&gt;"Ended")*('Regular Clients'!$J$6:$J$30&lt;&gt;"Not started")*(ROW('Regular Clients'!$A$6:$A$30)-ROW('Regular Clients'!$A$6)+1))))))</f>
        <v/>
      </c>
      <c r="E22" s="17" t="str">
        <f aca="false">IF(SUMPRODUCT(('Regular Clients'!$C$6:$C$30=E$5)*('Regular Clients'!$B$6:$B$30=$B$3)*('Regular Clients'!$D$6:$D$30&lt;=$A22)*('Regular Clients'!$E$6:$E$30&gt;$A22)*('Regular Clients'!$J$6:$J$30&lt;&gt;"Ended")*('Regular Clients'!$J$6:$J$30&lt;&gt;"Not started"))=0,"",IF(SUMPRODUCT(('Regular Clients'!$C$6:$C$30=E$5)*('Regular Clients'!$B$6:$B$30=$B$3)*('Regular Clients'!$D$6:$D$30&lt;=$A22)*('Regular Clients'!$E$6:$E$30&gt;$A22)*('Regular Clients'!$J$6:$J$30&lt;&gt;"Ended")*('Regular Clients'!$J$6:$J$30&lt;&gt;"Not started"))&gt;1,"CLASH",INDEX('Regular Clients'!$A$6:$A$30,SUMPRODUCT(MAX(('Regular Clients'!$C$6:$C$30=E$5)*('Regular Clients'!$B$6:$B$30=$B$3)*('Regular Clients'!$D$6:$D$30&lt;=$A22)*('Regular Clients'!$E$6:$E$30&gt;$A22)*('Regular Clients'!$J$6:$J$30&lt;&gt;"Ended")*('Regular Clients'!$J$6:$J$30&lt;&gt;"Not started")*(ROW('Regular Clients'!$A$6:$A$30)-ROW('Regular Clients'!$A$6)+1))))))</f>
        <v/>
      </c>
      <c r="F22" s="17" t="str">
        <f aca="false">IF(SUMPRODUCT(('Regular Clients'!$C$6:$C$30=F$5)*('Regular Clients'!$B$6:$B$30=$B$3)*('Regular Clients'!$D$6:$D$30&lt;=$A22)*('Regular Clients'!$E$6:$E$30&gt;$A22)*('Regular Clients'!$J$6:$J$30&lt;&gt;"Ended")*('Regular Clients'!$J$6:$J$30&lt;&gt;"Not started"))=0,"",IF(SUMPRODUCT(('Regular Clients'!$C$6:$C$30=F$5)*('Regular Clients'!$B$6:$B$30=$B$3)*('Regular Clients'!$D$6:$D$30&lt;=$A22)*('Regular Clients'!$E$6:$E$30&gt;$A22)*('Regular Clients'!$J$6:$J$30&lt;&gt;"Ended")*('Regular Clients'!$J$6:$J$30&lt;&gt;"Not started"))&gt;1,"CLASH",INDEX('Regular Clients'!$A$6:$A$30,SUMPRODUCT(MAX(('Regular Clients'!$C$6:$C$30=F$5)*('Regular Clients'!$B$6:$B$30=$B$3)*('Regular Clients'!$D$6:$D$30&lt;=$A22)*('Regular Clients'!$E$6:$E$30&gt;$A22)*('Regular Clients'!$J$6:$J$30&lt;&gt;"Ended")*('Regular Clients'!$J$6:$J$30&lt;&gt;"Not started")*(ROW('Regular Clients'!$A$6:$A$30)-ROW('Regular Clients'!$A$6)+1))))))</f>
        <v/>
      </c>
      <c r="G22" s="17" t="str">
        <f aca="false">IF(SUMPRODUCT(('Regular Clients'!$C$6:$C$30=G$5)*('Regular Clients'!$B$6:$B$30=$B$3)*('Regular Clients'!$D$6:$D$30&lt;=$A22)*('Regular Clients'!$E$6:$E$30&gt;$A22)*('Regular Clients'!$J$6:$J$30&lt;&gt;"Ended")*('Regular Clients'!$J$6:$J$30&lt;&gt;"Not started"))=0,"",IF(SUMPRODUCT(('Regular Clients'!$C$6:$C$30=G$5)*('Regular Clients'!$B$6:$B$30=$B$3)*('Regular Clients'!$D$6:$D$30&lt;=$A22)*('Regular Clients'!$E$6:$E$30&gt;$A22)*('Regular Clients'!$J$6:$J$30&lt;&gt;"Ended")*('Regular Clients'!$J$6:$J$30&lt;&gt;"Not started"))&gt;1,"CLASH",INDEX('Regular Clients'!$A$6:$A$30,SUMPRODUCT(MAX(('Regular Clients'!$C$6:$C$30=G$5)*('Regular Clients'!$B$6:$B$30=$B$3)*('Regular Clients'!$D$6:$D$30&lt;=$A22)*('Regular Clients'!$E$6:$E$30&gt;$A22)*('Regular Clients'!$J$6:$J$30&lt;&gt;"Ended")*('Regular Clients'!$J$6:$J$30&lt;&gt;"Not started")*(ROW('Regular Clients'!$A$6:$A$30)-ROW('Regular Clients'!$A$6)+1))))))</f>
        <v/>
      </c>
      <c r="H22" s="17" t="str">
        <f aca="false">IF(SUMPRODUCT(('Regular Clients'!$C$6:$C$30=H$5)*('Regular Clients'!$B$6:$B$30=$B$3)*('Regular Clients'!$D$6:$D$30&lt;=$A22)*('Regular Clients'!$E$6:$E$30&gt;$A22)*('Regular Clients'!$J$6:$J$30&lt;&gt;"Ended")*('Regular Clients'!$J$6:$J$30&lt;&gt;"Not started"))=0,"",IF(SUMPRODUCT(('Regular Clients'!$C$6:$C$30=H$5)*('Regular Clients'!$B$6:$B$30=$B$3)*('Regular Clients'!$D$6:$D$30&lt;=$A22)*('Regular Clients'!$E$6:$E$30&gt;$A22)*('Regular Clients'!$J$6:$J$30&lt;&gt;"Ended")*('Regular Clients'!$J$6:$J$30&lt;&gt;"Not started"))&gt;1,"CLASH",INDEX('Regular Clients'!$A$6:$A$30,SUMPRODUCT(MAX(('Regular Clients'!$C$6:$C$30=H$5)*('Regular Clients'!$B$6:$B$30=$B$3)*('Regular Clients'!$D$6:$D$30&lt;=$A22)*('Regular Clients'!$E$6:$E$30&gt;$A22)*('Regular Clients'!$J$6:$J$30&lt;&gt;"Ended")*('Regular Clients'!$J$6:$J$30&lt;&gt;"Not started")*(ROW('Regular Clients'!$A$6:$A$30)-ROW('Regular Clients'!$A$6)+1))))))</f>
        <v/>
      </c>
    </row>
    <row r="23" customFormat="false" ht="15" hidden="false" customHeight="false" outlineLevel="0" collapsed="false">
      <c r="A23" s="18" t="s">
        <v>8</v>
      </c>
      <c r="B23" s="18" t="n">
        <f aca="false">COUNTIF(B6:B22,"?*")</f>
        <v>2</v>
      </c>
      <c r="C23" s="18" t="n">
        <f aca="false">COUNTIF(C6:C22,"?*")</f>
        <v>2</v>
      </c>
      <c r="D23" s="18" t="n">
        <f aca="false">COUNTIF(D6:D22,"?*")</f>
        <v>2</v>
      </c>
      <c r="E23" s="18" t="n">
        <f aca="false">COUNTIF(E6:E22,"?*")</f>
        <v>0</v>
      </c>
      <c r="F23" s="18" t="n">
        <f aca="false">COUNTIF(F6:F22,"?*")</f>
        <v>0</v>
      </c>
      <c r="G23" s="18" t="n">
        <f aca="false">COUNTIF(G6:G22,"?*")</f>
        <v>0</v>
      </c>
      <c r="H23" s="18" t="n">
        <f aca="false">COUNTIF(H6:H22,"?*")</f>
        <v>0</v>
      </c>
    </row>
    <row r="24" customFormat="false" ht="15" hidden="false" customHeight="false" outlineLevel="0" collapsed="false">
      <c r="G24" s="14" t="s">
        <v>36</v>
      </c>
      <c r="H24" s="18" t="n">
        <f aca="false">SUM(B23:H23)</f>
        <v>6</v>
      </c>
    </row>
    <row r="26" customFormat="false" ht="30" hidden="false" customHeight="true" outlineLevel="0" collapsed="false">
      <c r="A26" s="19"/>
      <c r="B26" s="19"/>
      <c r="C26" s="19"/>
      <c r="D26" s="19"/>
      <c r="E26" s="19"/>
      <c r="F26" s="19"/>
      <c r="G26" s="19"/>
      <c r="H26" s="19"/>
    </row>
  </sheetData>
  <mergeCells count="3">
    <mergeCell ref="A2:H2"/>
    <mergeCell ref="B3:C3"/>
    <mergeCell ref="A26:H26"/>
  </mergeCells>
  <conditionalFormatting sqref="B6:H22">
    <cfRule type="expression" priority="2" aboveAverage="0" equalAverage="0" bottom="0" percent="0" rank="0" text="" dxfId="2">
      <formula>B6="CLASH"</formula>
    </cfRule>
    <cfRule type="expression" priority="3" aboveAverage="0" equalAverage="0" bottom="0" percent="0" rank="0" text="" dxfId="3">
      <formula>B6&lt;&gt;""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0"/>
    <col collapsed="false" customWidth="true" hidden="false" outlineLevel="0" max="4" min="4" style="0" width="18"/>
    <col collapsed="false" customWidth="true" hidden="false" outlineLevel="0" max="5" min="5" style="0" width="12"/>
    <col collapsed="false" customWidth="true" hidden="false" outlineLevel="0" max="6" min="6" style="0" width="13"/>
    <col collapsed="false" customWidth="true" hidden="false" outlineLevel="0" max="7" min="7" style="0" width="12"/>
    <col collapsed="false" customWidth="true" hidden="false" outlineLevel="0" max="8" min="8" style="0" width="11"/>
    <col collapsed="false" customWidth="true" hidden="false" outlineLevel="0" max="9" min="9" style="0" width="14"/>
  </cols>
  <sheetData>
    <row r="1" customFormat="false" ht="17.35" hidden="false" customHeight="false" outlineLevel="0" collapsed="false">
      <c r="A1" s="1" t="s">
        <v>37</v>
      </c>
    </row>
    <row r="2" customFormat="false" ht="23.85" hidden="false" customHeight="true" outlineLevel="0" collapsed="false">
      <c r="A2" s="2" t="s">
        <v>38</v>
      </c>
      <c r="B2" s="2"/>
      <c r="C2" s="2"/>
      <c r="D2" s="2"/>
      <c r="E2" s="2"/>
      <c r="F2" s="2"/>
      <c r="G2" s="2"/>
      <c r="H2" s="2"/>
      <c r="I2" s="2"/>
    </row>
    <row r="5" customFormat="false" ht="31.5" hidden="false" customHeight="true" outlineLevel="0" collapsed="false">
      <c r="A5" s="4" t="s">
        <v>39</v>
      </c>
      <c r="B5" s="4" t="s">
        <v>40</v>
      </c>
      <c r="C5" s="4" t="s">
        <v>41</v>
      </c>
      <c r="D5" s="4" t="s">
        <v>42</v>
      </c>
      <c r="E5" s="4" t="s">
        <v>43</v>
      </c>
      <c r="F5" s="4" t="s">
        <v>44</v>
      </c>
      <c r="G5" s="4" t="s">
        <v>45</v>
      </c>
      <c r="H5" s="4" t="s">
        <v>46</v>
      </c>
      <c r="I5" s="4" t="s">
        <v>13</v>
      </c>
    </row>
    <row r="6" customFormat="false" ht="18" hidden="false" customHeight="true" outlineLevel="0" collapsed="false">
      <c r="A6" s="20" t="s">
        <v>47</v>
      </c>
      <c r="B6" s="21" t="str">
        <f aca="false">IF(A6="","","+250"&amp;MID(A6,2,9))</f>
        <v>+250780000001</v>
      </c>
      <c r="C6" s="21" t="s">
        <v>48</v>
      </c>
      <c r="D6" s="21"/>
      <c r="E6" s="17" t="s">
        <v>49</v>
      </c>
      <c r="F6" s="17" t="s">
        <v>49</v>
      </c>
      <c r="G6" s="17" t="s">
        <v>50</v>
      </c>
      <c r="H6" s="17" t="s">
        <v>50</v>
      </c>
      <c r="I6" s="17" t="str">
        <f aca="false">IF(A6="",IF(C6="","","Number needed"),IF(SUMPRODUCT(--($A$6:$A$17=A6))&gt;1,"Duplicate",IF(AND(LEN(A6)=10,LEFT(A6,2)="07",ISNUMBER(VALUE(A6))),"OK","Check number")))</f>
        <v>OK</v>
      </c>
    </row>
    <row r="7" customFormat="false" ht="18" hidden="false" customHeight="true" outlineLevel="0" collapsed="false">
      <c r="A7" s="20" t="s">
        <v>51</v>
      </c>
      <c r="B7" s="21" t="str">
        <f aca="false">IF(A7="","","+250"&amp;MID(A7,2,9))</f>
        <v>+250780000002</v>
      </c>
      <c r="C7" s="21" t="s">
        <v>52</v>
      </c>
      <c r="D7" s="21"/>
      <c r="E7" s="17" t="s">
        <v>49</v>
      </c>
      <c r="F7" s="17" t="s">
        <v>49</v>
      </c>
      <c r="G7" s="17" t="s">
        <v>49</v>
      </c>
      <c r="H7" s="17" t="s">
        <v>50</v>
      </c>
      <c r="I7" s="17" t="str">
        <f aca="false">IF(A7="",IF(C7="","","Number needed"),IF(SUMPRODUCT(--($A$6:$A$17=A7))&gt;1,"Duplicate",IF(AND(LEN(A7)=10,LEFT(A7,2)="07",ISNUMBER(VALUE(A7))),"OK","Check number")))</f>
        <v>OK</v>
      </c>
    </row>
    <row r="8" customFormat="false" ht="18" hidden="false" customHeight="true" outlineLevel="0" collapsed="false">
      <c r="A8" s="20" t="s">
        <v>53</v>
      </c>
      <c r="B8" s="21" t="str">
        <f aca="false">IF(A8="","","+250"&amp;MID(A8,2,9))</f>
        <v>+250780000003</v>
      </c>
      <c r="C8" s="21" t="s">
        <v>48</v>
      </c>
      <c r="D8" s="21"/>
      <c r="E8" s="17" t="s">
        <v>49</v>
      </c>
      <c r="F8" s="17" t="s">
        <v>49</v>
      </c>
      <c r="G8" s="17" t="s">
        <v>50</v>
      </c>
      <c r="H8" s="17" t="s">
        <v>50</v>
      </c>
      <c r="I8" s="17" t="str">
        <f aca="false">IF(A8="",IF(C8="","","Number needed"),IF(SUMPRODUCT(--($A$6:$A$17=A8))&gt;1,"Duplicate",IF(AND(LEN(A8)=10,LEFT(A8,2)="07",ISNUMBER(VALUE(A8))),"OK","Check number")))</f>
        <v>OK</v>
      </c>
    </row>
    <row r="9" customFormat="false" ht="18" hidden="false" customHeight="true" outlineLevel="0" collapsed="false">
      <c r="A9" s="20" t="s">
        <v>54</v>
      </c>
      <c r="B9" s="21" t="str">
        <f aca="false">IF(A9="","","+250"&amp;MID(A9,2,9))</f>
        <v>+250780000004</v>
      </c>
      <c r="C9" s="21" t="s">
        <v>48</v>
      </c>
      <c r="D9" s="21"/>
      <c r="E9" s="17" t="s">
        <v>49</v>
      </c>
      <c r="F9" s="17" t="s">
        <v>49</v>
      </c>
      <c r="G9" s="17" t="s">
        <v>50</v>
      </c>
      <c r="H9" s="17" t="s">
        <v>50</v>
      </c>
      <c r="I9" s="17" t="str">
        <f aca="false">IF(A9="",IF(C9="","","Number needed"),IF(SUMPRODUCT(--($A$6:$A$17=A9))&gt;1,"Duplicate",IF(AND(LEN(A9)=10,LEFT(A9,2)="07",ISNUMBER(VALUE(A9))),"OK","Check number")))</f>
        <v>OK</v>
      </c>
    </row>
    <row r="10" customFormat="false" ht="18" hidden="false" customHeight="true" outlineLevel="0" collapsed="false">
      <c r="A10" s="20" t="s">
        <v>55</v>
      </c>
      <c r="B10" s="21" t="str">
        <f aca="false">IF(A10="","","+250"&amp;MID(A10,2,9))</f>
        <v>+250780000005</v>
      </c>
      <c r="C10" s="21" t="s">
        <v>48</v>
      </c>
      <c r="D10" s="21"/>
      <c r="E10" s="17" t="s">
        <v>49</v>
      </c>
      <c r="F10" s="17" t="s">
        <v>49</v>
      </c>
      <c r="G10" s="17" t="s">
        <v>50</v>
      </c>
      <c r="H10" s="17" t="s">
        <v>50</v>
      </c>
      <c r="I10" s="17" t="str">
        <f aca="false">IF(A10="",IF(C10="","","Number needed"),IF(SUMPRODUCT(--($A$6:$A$17=A10))&gt;1,"Duplicate",IF(AND(LEN(A10)=10,LEFT(A10,2)="07",ISNUMBER(VALUE(A10))),"OK","Check number")))</f>
        <v>OK</v>
      </c>
    </row>
    <row r="11" customFormat="false" ht="18" hidden="false" customHeight="true" outlineLevel="0" collapsed="false">
      <c r="A11" s="20" t="s">
        <v>56</v>
      </c>
      <c r="B11" s="21" t="str">
        <f aca="false">IF(A11="","","+250"&amp;MID(A11,2,9))</f>
        <v>+250780000006</v>
      </c>
      <c r="C11" s="21" t="s">
        <v>52</v>
      </c>
      <c r="D11" s="21"/>
      <c r="E11" s="17" t="s">
        <v>49</v>
      </c>
      <c r="F11" s="17" t="s">
        <v>49</v>
      </c>
      <c r="G11" s="17" t="s">
        <v>49</v>
      </c>
      <c r="H11" s="17" t="s">
        <v>50</v>
      </c>
      <c r="I11" s="17" t="str">
        <f aca="false">IF(A11="",IF(C11="","","Number needed"),IF(SUMPRODUCT(--($A$6:$A$17=A11))&gt;1,"Duplicate",IF(AND(LEN(A11)=10,LEFT(A11,2)="07",ISNUMBER(VALUE(A11))),"OK","Check number")))</f>
        <v>OK</v>
      </c>
    </row>
    <row r="12" customFormat="false" ht="18" hidden="false" customHeight="true" outlineLevel="0" collapsed="false">
      <c r="A12" s="20" t="s">
        <v>57</v>
      </c>
      <c r="B12" s="21" t="str">
        <f aca="false">IF(A12="","","+250"&amp;MID(A12,2,9))</f>
        <v>+250780000007</v>
      </c>
      <c r="C12" s="21" t="s">
        <v>48</v>
      </c>
      <c r="D12" s="21"/>
      <c r="E12" s="17" t="s">
        <v>49</v>
      </c>
      <c r="F12" s="17" t="s">
        <v>49</v>
      </c>
      <c r="G12" s="17" t="s">
        <v>50</v>
      </c>
      <c r="H12" s="17" t="s">
        <v>50</v>
      </c>
      <c r="I12" s="17" t="str">
        <f aca="false">IF(A12="",IF(C12="","","Number needed"),IF(SUMPRODUCT(--($A$6:$A$17=A12))&gt;1,"Duplicate",IF(AND(LEN(A12)=10,LEFT(A12,2)="07",ISNUMBER(VALUE(A12))),"OK","Check number")))</f>
        <v>OK</v>
      </c>
    </row>
    <row r="13" customFormat="false" ht="18" hidden="false" customHeight="true" outlineLevel="0" collapsed="false">
      <c r="A13" s="22" t="s">
        <v>58</v>
      </c>
      <c r="B13" s="21" t="str">
        <f aca="false">IF(A13="","","+250"&amp;MID(A13,2,9))</f>
        <v>+250780000009</v>
      </c>
      <c r="C13" s="21" t="s">
        <v>59</v>
      </c>
      <c r="D13" s="21" t="s">
        <v>60</v>
      </c>
      <c r="E13" s="17" t="s">
        <v>50</v>
      </c>
      <c r="F13" s="17" t="s">
        <v>50</v>
      </c>
      <c r="G13" s="17" t="s">
        <v>50</v>
      </c>
      <c r="H13" s="17" t="s">
        <v>49</v>
      </c>
      <c r="I13" s="17" t="str">
        <f aca="false">IF(A13="",IF(C13="","","Number needed"),IF(SUMPRODUCT(--($A$6:$A$17=A13))&gt;1,"Duplicate",IF(AND(LEN(A13)=10,LEFT(A13,2)="07",ISNUMBER(VALUE(A13))),"OK","Check number")))</f>
        <v>OK</v>
      </c>
    </row>
    <row r="14" customFormat="false" ht="18" hidden="false" customHeight="true" outlineLevel="0" collapsed="false">
      <c r="A14" s="20"/>
      <c r="B14" s="21" t="str">
        <f aca="false">IF(A14="","","+250"&amp;MID(A14,2,9))</f>
        <v/>
      </c>
      <c r="C14" s="21"/>
      <c r="D14" s="21"/>
      <c r="E14" s="17"/>
      <c r="F14" s="17"/>
      <c r="G14" s="17"/>
      <c r="H14" s="17"/>
      <c r="I14" s="17" t="str">
        <f aca="false">IF(A14="",IF(C14="","","Number needed"),IF(SUMPRODUCT(--($A$6:$A$17=A14))&gt;1,"Duplicate",IF(AND(LEN(A14)=10,LEFT(A14,2)="07",ISNUMBER(VALUE(A14))),"OK","Check number")))</f>
        <v/>
      </c>
    </row>
    <row r="15" customFormat="false" ht="18" hidden="false" customHeight="true" outlineLevel="0" collapsed="false">
      <c r="A15" s="20"/>
      <c r="B15" s="21" t="str">
        <f aca="false">IF(A15="","","+250"&amp;MID(A15,2,9))</f>
        <v/>
      </c>
      <c r="C15" s="21"/>
      <c r="D15" s="21"/>
      <c r="E15" s="17"/>
      <c r="F15" s="17"/>
      <c r="G15" s="17"/>
      <c r="H15" s="17"/>
      <c r="I15" s="17" t="str">
        <f aca="false">IF(A15="",IF(C15="","","Number needed"),IF(SUMPRODUCT(--($A$6:$A$17=A15))&gt;1,"Duplicate",IF(AND(LEN(A15)=10,LEFT(A15,2)="07",ISNUMBER(VALUE(A15))),"OK","Check number")))</f>
        <v/>
      </c>
    </row>
    <row r="16" customFormat="false" ht="18" hidden="false" customHeight="true" outlineLevel="0" collapsed="false">
      <c r="A16" s="20"/>
      <c r="B16" s="21" t="str">
        <f aca="false">IF(A16="","","+250"&amp;MID(A16,2,9))</f>
        <v/>
      </c>
      <c r="C16" s="21"/>
      <c r="D16" s="21"/>
      <c r="E16" s="17"/>
      <c r="F16" s="17"/>
      <c r="G16" s="17"/>
      <c r="H16" s="17"/>
      <c r="I16" s="17" t="str">
        <f aca="false">IF(A16="",IF(C16="","","Number needed"),IF(SUMPRODUCT(--($A$6:$A$17=A16))&gt;1,"Duplicate",IF(AND(LEN(A16)=10,LEFT(A16,2)="07",ISNUMBER(VALUE(A16))),"OK","Check number")))</f>
        <v/>
      </c>
    </row>
    <row r="17" customFormat="false" ht="18" hidden="false" customHeight="true" outlineLevel="0" collapsed="false">
      <c r="A17" s="20"/>
      <c r="B17" s="21" t="str">
        <f aca="false">IF(A17="","","+250"&amp;MID(A17,2,9))</f>
        <v/>
      </c>
      <c r="C17" s="21"/>
      <c r="D17" s="21"/>
      <c r="E17" s="17"/>
      <c r="F17" s="17"/>
      <c r="G17" s="17"/>
      <c r="H17" s="17"/>
      <c r="I17" s="17" t="str">
        <f aca="false">IF(A17="",IF(C17="","","Number needed"),IF(SUMPRODUCT(--($A$6:$A$17=A17))&gt;1,"Duplicate",IF(AND(LEN(A17)=10,LEFT(A17,2)="07",ISNUMBER(VALUE(A17))),"OK","Check number")))</f>
        <v/>
      </c>
    </row>
  </sheetData>
  <mergeCells count="1">
    <mergeCell ref="A2:I2"/>
  </mergeCells>
  <conditionalFormatting sqref="I6:I17">
    <cfRule type="expression" priority="2" aboveAverage="0" equalAverage="0" bottom="0" percent="0" rank="0" text="" dxfId="0">
      <formula>AND(I6&lt;&gt;"",I6&lt;&gt;"OK")</formula>
    </cfRule>
  </conditionalFormatting>
  <dataValidations count="2">
    <dataValidation allowBlank="true" errorStyle="stop" operator="between" showDropDown="false" showErrorMessage="false" showInputMessage="false" sqref="E6:H17" type="list">
      <formula1>"Yes,No"</formula1>
      <formula2>0</formula2>
    </dataValidation>
    <dataValidation allowBlank="true" errorStyle="stop" operator="between" showDropDown="false" showErrorMessage="false" showInputMessage="false" sqref="C6:C17" type="list">
      <formula1>"Team,Attendant,Admin (Clovis)"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70"/>
  </cols>
  <sheetData>
    <row r="1" customFormat="false" ht="17.35" hidden="false" customHeight="false" outlineLevel="0" collapsed="false">
      <c r="A1" s="1" t="s">
        <v>61</v>
      </c>
    </row>
    <row r="2" customFormat="false" ht="15" hidden="false" customHeight="true" outlineLevel="0" collapsed="false">
      <c r="A2" s="2" t="s">
        <v>62</v>
      </c>
      <c r="B2" s="2"/>
      <c r="C2" s="2"/>
    </row>
    <row r="5" customFormat="false" ht="15" hidden="false" customHeight="false" outlineLevel="0" collapsed="false">
      <c r="A5" s="4" t="s">
        <v>63</v>
      </c>
      <c r="B5" s="4" t="s">
        <v>64</v>
      </c>
      <c r="C5" s="4" t="s">
        <v>65</v>
      </c>
    </row>
    <row r="6" customFormat="false" ht="30" hidden="false" customHeight="true" outlineLevel="0" collapsed="false">
      <c r="A6" s="23" t="s">
        <v>66</v>
      </c>
      <c r="B6" s="24" t="s">
        <v>67</v>
      </c>
      <c r="C6" s="21" t="s">
        <v>68</v>
      </c>
    </row>
    <row r="7" customFormat="false" ht="18" hidden="false" customHeight="true" outlineLevel="0" collapsed="false">
      <c r="A7" s="23" t="s">
        <v>69</v>
      </c>
      <c r="B7" s="24" t="s">
        <v>70</v>
      </c>
      <c r="C7" s="21" t="s">
        <v>71</v>
      </c>
    </row>
    <row r="8" customFormat="false" ht="30" hidden="false" customHeight="true" outlineLevel="0" collapsed="false">
      <c r="A8" s="23" t="s">
        <v>72</v>
      </c>
      <c r="B8" s="25" t="n">
        <v>0.270833333333333</v>
      </c>
      <c r="C8" s="21" t="s">
        <v>73</v>
      </c>
    </row>
    <row r="9" customFormat="false" ht="18" hidden="false" customHeight="true" outlineLevel="0" collapsed="false">
      <c r="A9" s="23" t="s">
        <v>74</v>
      </c>
      <c r="B9" s="24" t="s">
        <v>17</v>
      </c>
      <c r="C9" s="21" t="s">
        <v>75</v>
      </c>
    </row>
    <row r="10" customFormat="false" ht="18" hidden="false" customHeight="true" outlineLevel="0" collapsed="false">
      <c r="A10" s="23" t="s">
        <v>76</v>
      </c>
      <c r="B10" s="25" t="n">
        <v>0.270833333333333</v>
      </c>
      <c r="C10" s="21" t="s">
        <v>77</v>
      </c>
    </row>
    <row r="11" customFormat="false" ht="18" hidden="false" customHeight="true" outlineLevel="0" collapsed="false">
      <c r="A11" s="23" t="s">
        <v>78</v>
      </c>
      <c r="B11" s="26" t="n">
        <v>60</v>
      </c>
      <c r="C11" s="21" t="s">
        <v>79</v>
      </c>
    </row>
    <row r="12" customFormat="false" ht="18" hidden="false" customHeight="true" outlineLevel="0" collapsed="false">
      <c r="A12" s="23" t="s">
        <v>80</v>
      </c>
      <c r="B12" s="26" t="n">
        <v>15</v>
      </c>
      <c r="C12" s="21" t="s">
        <v>81</v>
      </c>
    </row>
    <row r="13" customFormat="false" ht="30" hidden="false" customHeight="true" outlineLevel="0" collapsed="false">
      <c r="A13" s="23" t="s">
        <v>82</v>
      </c>
      <c r="B13" s="25" t="n">
        <v>0.958333333333333</v>
      </c>
      <c r="C13" s="21" t="s">
        <v>83</v>
      </c>
    </row>
    <row r="14" customFormat="false" ht="18" hidden="false" customHeight="true" outlineLevel="0" collapsed="false">
      <c r="A14" s="23" t="s">
        <v>84</v>
      </c>
      <c r="B14" s="25" t="n">
        <v>0.25</v>
      </c>
      <c r="C14" s="21"/>
    </row>
    <row r="15" customFormat="false" ht="30" hidden="false" customHeight="true" outlineLevel="0" collapsed="false">
      <c r="A15" s="23" t="s">
        <v>85</v>
      </c>
      <c r="B15" s="26" t="n">
        <v>15</v>
      </c>
      <c r="C15" s="21" t="s">
        <v>86</v>
      </c>
    </row>
    <row r="16" customFormat="false" ht="18" hidden="false" customHeight="true" outlineLevel="0" collapsed="false">
      <c r="A16" s="23" t="s">
        <v>87</v>
      </c>
      <c r="B16" s="26" t="n">
        <v>3</v>
      </c>
      <c r="C16" s="21" t="s">
        <v>88</v>
      </c>
    </row>
    <row r="17" customFormat="false" ht="30" hidden="false" customHeight="true" outlineLevel="0" collapsed="false">
      <c r="A17" s="23" t="s">
        <v>89</v>
      </c>
      <c r="B17" s="26" t="n">
        <v>7</v>
      </c>
      <c r="C17" s="21" t="s">
        <v>90</v>
      </c>
    </row>
    <row r="18" customFormat="false" ht="30" hidden="false" customHeight="true" outlineLevel="0" collapsed="false">
      <c r="A18" s="23" t="s">
        <v>91</v>
      </c>
      <c r="B18" s="26" t="n">
        <v>60</v>
      </c>
      <c r="C18" s="21" t="s">
        <v>92</v>
      </c>
    </row>
    <row r="19" customFormat="false" ht="30" hidden="false" customHeight="true" outlineLevel="0" collapsed="false">
      <c r="A19" s="23" t="s">
        <v>93</v>
      </c>
      <c r="B19" s="26" t="n">
        <v>5</v>
      </c>
      <c r="C19" s="21" t="s">
        <v>94</v>
      </c>
    </row>
    <row r="20" customFormat="false" ht="30" hidden="false" customHeight="true" outlineLevel="0" collapsed="false">
      <c r="A20" s="23" t="s">
        <v>95</v>
      </c>
      <c r="B20" s="26" t="n">
        <v>300</v>
      </c>
      <c r="C20" s="21" t="s">
        <v>96</v>
      </c>
    </row>
    <row r="21" customFormat="false" ht="18" hidden="false" customHeight="true" outlineLevel="0" collapsed="false">
      <c r="A21" s="23" t="s">
        <v>97</v>
      </c>
      <c r="B21" s="24" t="s">
        <v>49</v>
      </c>
      <c r="C21" s="21" t="s">
        <v>98</v>
      </c>
    </row>
  </sheetData>
  <mergeCells count="1">
    <mergeCell ref="A2:C2"/>
  </mergeCells>
  <dataValidations count="3">
    <dataValidation allowBlank="false" errorStyle="stop" operator="between" showDropDown="false" showErrorMessage="false" showInputMessage="false" sqref="B6" type="list">
      <formula1>"preview,WhatsApp,SMS"</formula1>
      <formula2>0</formula2>
    </dataValidation>
    <dataValidation allowBlank="false" errorStyle="stop" operator="between" showDropDown="false" showErrorMessage="false" showInputMessage="false" sqref="B9" type="list">
      <formula1>"Monday,Tuesday,Wednesday,Thursday,Friday,Saturday,Sunday"</formula1>
      <formula2>0</formula2>
    </dataValidation>
    <dataValidation allowBlank="false" errorStyle="stop" operator="between" showDropDown="false" showErrorMessage="false" showInputMessage="false" sqref="B2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9"/>
    <col collapsed="false" customWidth="true" hidden="false" outlineLevel="0" max="4" min="4" style="0" width="64"/>
  </cols>
  <sheetData>
    <row r="1" customFormat="false" ht="17.35" hidden="false" customHeight="false" outlineLevel="0" collapsed="false">
      <c r="A1" s="1" t="s">
        <v>99</v>
      </c>
    </row>
    <row r="2" customFormat="false" ht="15" hidden="false" customHeight="true" outlineLevel="0" collapsed="false">
      <c r="A2" s="2" t="s">
        <v>100</v>
      </c>
      <c r="B2" s="2"/>
      <c r="C2" s="2"/>
      <c r="D2" s="2"/>
    </row>
    <row r="5" customFormat="false" ht="15" hidden="false" customHeight="false" outlineLevel="0" collapsed="false">
      <c r="A5" s="4" t="s">
        <v>4</v>
      </c>
      <c r="B5" s="4" t="s">
        <v>101</v>
      </c>
      <c r="C5" s="4" t="s">
        <v>102</v>
      </c>
      <c r="D5" s="4" t="s">
        <v>14</v>
      </c>
    </row>
    <row r="6" customFormat="false" ht="18" hidden="false" customHeight="true" outlineLevel="0" collapsed="false">
      <c r="A6" s="21" t="s">
        <v>16</v>
      </c>
      <c r="B6" s="27" t="s">
        <v>103</v>
      </c>
      <c r="C6" s="24" t="s">
        <v>49</v>
      </c>
      <c r="D6" s="21" t="s">
        <v>104</v>
      </c>
    </row>
    <row r="7" customFormat="false" ht="18" hidden="false" customHeight="true" outlineLevel="0" collapsed="false">
      <c r="A7" s="21" t="s">
        <v>105</v>
      </c>
      <c r="B7" s="27"/>
      <c r="C7" s="24" t="s">
        <v>50</v>
      </c>
      <c r="D7" s="21" t="s">
        <v>106</v>
      </c>
    </row>
    <row r="8" customFormat="false" ht="18" hidden="false" customHeight="true" outlineLevel="0" collapsed="false">
      <c r="A8" s="21" t="s">
        <v>107</v>
      </c>
      <c r="B8" s="27"/>
      <c r="C8" s="24" t="s">
        <v>50</v>
      </c>
      <c r="D8" s="21" t="s">
        <v>106</v>
      </c>
    </row>
  </sheetData>
  <mergeCells count="1">
    <mergeCell ref="A2:D2"/>
  </mergeCells>
  <dataValidations count="1">
    <dataValidation allowBlank="false" errorStyle="stop" operator="between" showDropDown="false" showErrorMessage="false" showInputMessage="false" sqref="C6:C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2026-10-04T10:50:21Z</dcterms:created>
  <dc:creator>openpyxl</dc:creator>
  <dc:description/>
  <dc:language>en-US</dc:language>
  <cp:lastModifiedBy/>
  <dcterms:modified xsi:type="dcterms:W3CDTF">2026-10-04T10:50:21Z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